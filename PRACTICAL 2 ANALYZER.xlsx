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ce89f41b0ea02d8/Desktop/"/>
    </mc:Choice>
  </mc:AlternateContent>
  <xr:revisionPtr revIDLastSave="119" documentId="8_{01866380-C3B8-4099-8953-37AF20F50CA4}" xr6:coauthVersionLast="47" xr6:coauthVersionMax="47" xr10:uidLastSave="{9CBC588A-F5D1-4DCD-A7A8-0C103C3EF324}"/>
  <bookViews>
    <workbookView xWindow="-108" yWindow="-108" windowWidth="23256" windowHeight="12456" firstSheet="1" activeTab="5" xr2:uid="{00000000-000D-0000-FFFF-FFFF00000000}"/>
  </bookViews>
  <sheets>
    <sheet name="Project Instructions" sheetId="1" r:id="rId1"/>
    <sheet name="Descriptive Stat" sheetId="11" r:id="rId2"/>
    <sheet name="Scenario Summary" sheetId="22" r:id="rId3"/>
    <sheet name="What if" sheetId="4" r:id="rId4"/>
    <sheet name="Linear reg" sheetId="9" r:id="rId5"/>
    <sheet name="Dashboard" sheetId="20" r:id="rId6"/>
    <sheet name="Obj1" sheetId="3" r:id="rId7"/>
    <sheet name="Obj2" sheetId="16" r:id="rId8"/>
    <sheet name="Obj3" sheetId="17" r:id="rId9"/>
    <sheet name="Obj4" sheetId="18" r:id="rId10"/>
    <sheet name="Obj5" sheetId="19" r:id="rId11"/>
    <sheet name="Dataset" sheetId="2" r:id="rId12"/>
  </sheets>
  <definedNames>
    <definedName name="Slicer_Months__Order_Date">#N/A</definedName>
    <definedName name="Slicer_Product_Category">#N/A</definedName>
    <definedName name="Slicer_Product_Category1">#N/A</definedName>
    <definedName name="Slicer_Region">#N/A</definedName>
    <definedName name="Slicer_Years__Order_Dat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7" i="4" l="1"/>
  <c r="J2" i="2"/>
  <c r="G8" i="4"/>
  <c r="G9" i="4"/>
  <c r="G10" i="4"/>
  <c r="G11" i="4"/>
  <c r="R17" i="20"/>
  <c r="R20" i="20"/>
  <c r="H7" i="4" l="1"/>
</calcChain>
</file>

<file path=xl/sharedStrings.xml><?xml version="1.0" encoding="utf-8"?>
<sst xmlns="http://schemas.openxmlformats.org/spreadsheetml/2006/main" count="972" uniqueCount="156">
  <si>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</si>
  <si>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</si>
  <si>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</si>
  <si>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</si>
  <si>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</si>
  <si>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</si>
  <si>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</si>
  <si>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</si>
  <si>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</si>
  <si>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</si>
  <si>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</si>
  <si>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</si>
  <si>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</si>
  <si>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</si>
  <si>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</si>
  <si>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</si>
  <si>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</si>
  <si>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</si>
  <si>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</si>
  <si>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</si>
  <si>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</si>
  <si>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</si>
  <si>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</si>
  <si>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</si>
  <si>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</si>
  <si>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</si>
  <si>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</si>
  <si>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</si>
  <si>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</si>
  <si>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</si>
  <si>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</si>
  <si>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</si>
  <si>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</si>
  <si>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</si>
  <si>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</si>
  <si>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</si>
  <si>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</si>
  <si>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</si>
  <si>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</si>
  <si>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</si>
  <si>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</si>
  <si>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</si>
  <si>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</si>
  <si>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</si>
  <si>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</si>
  <si>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</si>
  <si>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</si>
  <si>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</si>
  <si>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</si>
  <si>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</si>
  <si>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</si>
  <si>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</si>
  <si>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</si>
  <si>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</si>
  <si>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</si>
  <si>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</si>
  <si>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</si>
  <si>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</si>
  <si>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</si>
  <si>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</si>
  <si>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</si>
  <si>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</si>
  <si>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</si>
  <si>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</si>
  <si>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</si>
  <si>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</si>
  <si>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</si>
  <si>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</si>
  <si>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</si>
  <si>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</si>
  <si>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</si>
  <si>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</si>
  <si>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</si>
  <si>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</si>
  <si>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</si>
  <si>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</si>
  <si>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</si>
  <si>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 of Sales</t>
  </si>
  <si>
    <t>Row Labels</t>
  </si>
  <si>
    <t>Grand Total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</si>
  <si>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</si>
  <si>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</si>
  <si>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</si>
  <si>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</si>
  <si>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</si>
  <si>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</si>
  <si>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</si>
  <si>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</si>
  <si>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</si>
  <si>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</si>
  <si>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</si>
  <si>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</si>
  <si>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</si>
  <si>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</si>
  <si>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</si>
  <si>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</si>
  <si>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</si>
  <si>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</si>
  <si>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</si>
  <si>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</si>
  <si>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</si>
  <si>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</si>
  <si>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</si>
  <si>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</si>
  <si>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</si>
  <si>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Sum of Profit</t>
  </si>
  <si>
    <t>Mean</t>
  </si>
  <si>
    <t>Median</t>
  </si>
  <si>
    <t>Mode</t>
  </si>
  <si>
    <t>Standard Deviation</t>
  </si>
  <si>
    <t>Sample Variance</t>
  </si>
  <si>
    <t>Kurtosis</t>
  </si>
  <si>
    <t>Skewness</t>
  </si>
  <si>
    <t>Range</t>
  </si>
  <si>
    <t>Minimum</t>
  </si>
  <si>
    <t>Maximum</t>
  </si>
  <si>
    <t>Sum</t>
  </si>
  <si>
    <t>Count</t>
  </si>
  <si>
    <t>Confidence Level(95.0%)</t>
  </si>
  <si>
    <t xml:space="preserve">  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</si>
  <si>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What If Analysis</t>
  </si>
  <si>
    <t>Total Profit</t>
  </si>
  <si>
    <t>$F$7</t>
  </si>
  <si>
    <t>$F$8</t>
  </si>
  <si>
    <t>$F$9</t>
  </si>
  <si>
    <t>$F$10</t>
  </si>
  <si>
    <t>$F$11</t>
  </si>
  <si>
    <t>10% decrease discount</t>
  </si>
  <si>
    <t>Created by Krina Suthar on 17-12-2025</t>
  </si>
  <si>
    <t>10% increase discount</t>
  </si>
  <si>
    <t>Base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</si>
  <si>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</si>
  <si>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</si>
  <si>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</si>
  <si>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</si>
  <si>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</si>
  <si>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</si>
  <si>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</si>
  <si>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Jan</t>
  </si>
  <si>
    <t>Feb</t>
  </si>
  <si>
    <t>Mar</t>
  </si>
  <si>
    <t>Apr</t>
  </si>
  <si>
    <t>May</t>
  </si>
  <si>
    <t>Jun</t>
  </si>
  <si>
    <t>Jul</t>
  </si>
  <si>
    <t>Aug</t>
  </si>
  <si>
    <t>Sep</t>
  </si>
  <si>
    <t>Oct</t>
  </si>
  <si>
    <t>Nov</t>
  </si>
  <si>
    <t>Dec</t>
  </si>
  <si>
    <t>Timestamp</t>
  </si>
  <si>
    <t>Column Labels</t>
  </si>
  <si>
    <t>Top 10 Customers</t>
  </si>
  <si>
    <t>Total Sales</t>
  </si>
  <si>
    <t>Profit Descriptive Statistics</t>
  </si>
  <si>
    <t>$H$7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</si>
</sst>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 [$₹-4009]\ * #,##0.00_ ;_ [$₹-4009]\ * \-#,##0.00_ ;_ [$₹-4009]\ * &quot;-&quot;??_ ;_ @_ "/>
    <numFmt numFmtId="166" formatCode="_-[$$-409]* #,##0.00_ ;_-[$$-409]* \-#,##0.00\ ;_-[$$-409]* &quot;-&quot;??_ ;_-@_ "/>
  </numFmts>
  <fonts count="17"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theme="1"/>
      <name val="Calibri"/>
      <family val="2"/>
      <scheme val="minor"/>
    </font>
    <font>
      <sz val="11"/>
      <color theme="1"/>
      <name val="Calibri"/>
      <family val="2"/>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8"/>
      <color theme="1"/>
      <name val="Calibri"/>
      <family val="2"/>
      <scheme val="minor"/>
    </font>
    <font>
      <sz val="22"/>
      <color theme="1"/>
      <name val="Calibri"/>
      <family val="2"/>
      <scheme val="minor"/>
    </font>
    <font>
      <b/>
      <sz val="16"/>
      <color theme="1"/>
      <name val="Calibri"/>
      <family val="2"/>
      <scheme val="minor"/>
    </font>
    <font>
      <b/>
      <sz val="18"/>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39997558519241921"/>
        <bgColor rgb="FFFFF2CC"/>
      </patternFill>
    </fill>
    <fill>
      <patternFill patternType="solid">
        <fgColor theme="6" tint="0.39997558519241921"/>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76">
    <xf numFmtId="0" fontId="0" fillId="0" borderId="0" xfId="0"/>
    <xf numFmtId="0" fontId="2" fillId="0" borderId="0" xfId="0" applyFont="1"/>
    <xf numFmtId="0" fontId="3" fillId="0" borderId="0" xfId="0" applyFont="1"/>
    <xf numFmtId="0" fontId="4" fillId="0" borderId="0" xfId="0" applyFont="1"/>
    <xf numFmtId="164" fontId="4" fillId="0" borderId="0" xfId="0" applyNumberFormat="1" applyFont="1"/>
    <xf numFmtId="0" fontId="0" fillId="0" borderId="0" xfId="0" pivotButton="1"/>
    <xf numFmtId="0" fontId="0" fillId="0" borderId="0" xfId="0" applyAlignment="1">
      <alignment horizontal="left"/>
    </xf>
    <xf numFmtId="0" fontId="0" fillId="0" borderId="3" xfId="0" applyBorder="1"/>
    <xf numFmtId="0" fontId="7" fillId="0" borderId="5" xfId="0" applyFont="1" applyBorder="1" applyAlignment="1">
      <alignment horizontal="centerContinuous"/>
    </xf>
    <xf numFmtId="0" fontId="5" fillId="0" borderId="0" xfId="0" applyFont="1"/>
    <xf numFmtId="0" fontId="8" fillId="3" borderId="6" xfId="0" applyFont="1" applyFill="1" applyBorder="1" applyAlignment="1">
      <alignment horizontal="left"/>
    </xf>
    <xf numFmtId="0" fontId="8" fillId="3" borderId="2" xfId="0" applyFont="1" applyFill="1" applyBorder="1" applyAlignment="1">
      <alignment horizontal="left"/>
    </xf>
    <xf numFmtId="0" fontId="10" fillId="4" borderId="4" xfId="0" applyFont="1" applyFill="1" applyBorder="1" applyAlignment="1">
      <alignment horizontal="left"/>
    </xf>
    <xf numFmtId="0" fontId="11" fillId="3" borderId="2" xfId="0" applyFont="1" applyFill="1" applyBorder="1" applyAlignment="1">
      <alignment horizontal="right"/>
    </xf>
    <xf numFmtId="0" fontId="11" fillId="3" borderId="6" xfId="0" applyFont="1" applyFill="1" applyBorder="1" applyAlignment="1">
      <alignment horizontal="right"/>
    </xf>
    <xf numFmtId="14" fontId="0" fillId="0" borderId="0" xfId="0" applyNumberFormat="1"/>
    <xf numFmtId="0" fontId="0" fillId="6" borderId="0" xfId="0" applyFill="1"/>
    <xf numFmtId="0" fontId="5" fillId="2" borderId="7" xfId="0" applyFont="1" applyFill="1" applyBorder="1"/>
    <xf numFmtId="0" fontId="0" fillId="0" borderId="14" xfId="0" applyBorder="1"/>
    <xf numFmtId="0" fontId="0" fillId="0" borderId="15" xfId="0" applyBorder="1"/>
    <xf numFmtId="0" fontId="5" fillId="8" borderId="14" xfId="0" applyFont="1" applyFill="1" applyBorder="1"/>
    <xf numFmtId="0" fontId="3" fillId="8" borderId="0" xfId="0" applyFont="1" applyFill="1"/>
    <xf numFmtId="0" fontId="5" fillId="8" borderId="0" xfId="0" applyFont="1" applyFill="1"/>
    <xf numFmtId="0" fontId="5" fillId="8" borderId="15" xfId="0" applyFont="1" applyFill="1" applyBorder="1"/>
    <xf numFmtId="0" fontId="4" fillId="0" borderId="14" xfId="0" applyFont="1" applyBorder="1"/>
    <xf numFmtId="165" fontId="5" fillId="9" borderId="15" xfId="0" applyNumberFormat="1" applyFont="1" applyFill="1" applyBorder="1"/>
    <xf numFmtId="0" fontId="4" fillId="0" borderId="16" xfId="0" applyFont="1" applyBorder="1"/>
    <xf numFmtId="0" fontId="4" fillId="0" borderId="3" xfId="0" applyFont="1" applyBorder="1"/>
    <xf numFmtId="0" fontId="0" fillId="0" borderId="17" xfId="0" applyBorder="1"/>
    <xf numFmtId="165" fontId="0" fillId="0" borderId="3" xfId="0" applyNumberFormat="1" applyBorder="1"/>
    <xf numFmtId="0" fontId="0" fillId="0" borderId="4" xfId="0" applyBorder="1"/>
    <xf numFmtId="0" fontId="9" fillId="4" borderId="0" xfId="0" applyFont="1" applyFill="1" applyAlignment="1">
      <alignment horizontal="left"/>
    </xf>
    <xf numFmtId="0" fontId="9" fillId="4" borderId="3" xfId="0" applyFont="1" applyFill="1" applyBorder="1" applyAlignment="1">
      <alignment horizontal="left"/>
    </xf>
    <xf numFmtId="0" fontId="0" fillId="5" borderId="0" xfId="0" applyFill="1"/>
    <xf numFmtId="0" fontId="12" fillId="0" borderId="0" xfId="0" applyFont="1" applyAlignment="1">
      <alignment vertical="top" wrapText="1"/>
    </xf>
    <xf numFmtId="0" fontId="1" fillId="10" borderId="1" xfId="0" applyFont="1" applyFill="1" applyBorder="1" applyAlignment="1">
      <alignment horizontal="center"/>
    </xf>
    <xf numFmtId="0" fontId="6" fillId="8" borderId="1" xfId="0" applyFont="1" applyFill="1" applyBorder="1" applyAlignment="1">
      <alignment wrapText="1"/>
    </xf>
    <xf numFmtId="0" fontId="0" fillId="8" borderId="3" xfId="0" applyFill="1" applyBorder="1"/>
    <xf numFmtId="0" fontId="0" fillId="9" borderId="18" xfId="0" applyFill="1" applyBorder="1"/>
    <xf numFmtId="0" fontId="0" fillId="9" borderId="19" xfId="0" applyFill="1" applyBorder="1"/>
    <xf numFmtId="0" fontId="7" fillId="9" borderId="20" xfId="0" applyFont="1" applyFill="1" applyBorder="1" applyAlignment="1">
      <alignment horizontal="centerContinuous"/>
    </xf>
    <xf numFmtId="0" fontId="7" fillId="9" borderId="21" xfId="0" applyFont="1" applyFill="1" applyBorder="1" applyAlignment="1">
      <alignment horizontal="centerContinuous"/>
    </xf>
    <xf numFmtId="0" fontId="0" fillId="8" borderId="14" xfId="0" applyFill="1" applyBorder="1"/>
    <xf numFmtId="0" fontId="0" fillId="8" borderId="15" xfId="0" applyFill="1" applyBorder="1"/>
    <xf numFmtId="0" fontId="0" fillId="8" borderId="16" xfId="0" applyFill="1" applyBorder="1"/>
    <xf numFmtId="0" fontId="0" fillId="8" borderId="17" xfId="0" applyFill="1" applyBorder="1"/>
    <xf numFmtId="0" fontId="0" fillId="9" borderId="11" xfId="0" applyFill="1" applyBorder="1"/>
    <xf numFmtId="0" fontId="7" fillId="9" borderId="5" xfId="0" applyFont="1" applyFill="1" applyBorder="1" applyAlignment="1">
      <alignment horizontal="center"/>
    </xf>
    <xf numFmtId="0" fontId="7" fillId="8" borderId="20" xfId="0" applyFont="1" applyFill="1" applyBorder="1" applyAlignment="1">
      <alignment horizontal="center"/>
    </xf>
    <xf numFmtId="0" fontId="7" fillId="9" borderId="21" xfId="0" applyFont="1" applyFill="1" applyBorder="1" applyAlignment="1">
      <alignment horizontal="center"/>
    </xf>
    <xf numFmtId="0" fontId="0" fillId="8" borderId="0" xfId="0" applyFill="1"/>
    <xf numFmtId="0" fontId="0" fillId="9" borderId="12" xfId="0" applyFill="1" applyBorder="1"/>
    <xf numFmtId="0" fontId="0" fillId="9" borderId="13" xfId="0" applyFill="1" applyBorder="1"/>
    <xf numFmtId="0" fontId="0" fillId="0" borderId="14" xfId="0" applyBorder="1" applyAlignment="1">
      <alignment horizontal="left"/>
    </xf>
    <xf numFmtId="0" fontId="0" fillId="9" borderId="16" xfId="0" applyFill="1" applyBorder="1" applyAlignment="1">
      <alignment horizontal="left"/>
    </xf>
    <xf numFmtId="0" fontId="0" fillId="9" borderId="17" xfId="0" applyFill="1" applyBorder="1"/>
    <xf numFmtId="0" fontId="0" fillId="6" borderId="0" xfId="0" applyFill="1" applyAlignment="1">
      <alignment horizontal="left"/>
    </xf>
    <xf numFmtId="0" fontId="5" fillId="6" borderId="0" xfId="0" applyFont="1" applyFill="1"/>
    <xf numFmtId="0" fontId="5" fillId="9" borderId="12" xfId="0" applyFont="1" applyFill="1" applyBorder="1"/>
    <xf numFmtId="0" fontId="5" fillId="9" borderId="13" xfId="0" applyFont="1" applyFill="1" applyBorder="1"/>
    <xf numFmtId="0" fontId="0" fillId="0" borderId="16" xfId="0" applyBorder="1" applyAlignment="1">
      <alignment horizontal="left"/>
    </xf>
    <xf numFmtId="0" fontId="5" fillId="11" borderId="8" xfId="0" applyFont="1" applyFill="1" applyBorder="1"/>
    <xf numFmtId="0" fontId="5" fillId="11" borderId="9" xfId="0" applyFont="1" applyFill="1" applyBorder="1"/>
    <xf numFmtId="0" fontId="5" fillId="11" borderId="10" xfId="0" applyFont="1" applyFill="1" applyBorder="1"/>
    <xf numFmtId="166" fontId="0" fillId="6" borderId="0" xfId="0" applyNumberFormat="1" applyFill="1"/>
    <xf numFmtId="0" fontId="5" fillId="9" borderId="12" xfId="0" applyFont="1" applyFill="1" applyBorder="1" applyAlignment="1">
      <alignment horizontal="center"/>
    </xf>
    <xf numFmtId="0" fontId="5" fillId="9" borderId="2" xfId="0" applyFont="1" applyFill="1" applyBorder="1" applyAlignment="1">
      <alignment horizontal="center"/>
    </xf>
    <xf numFmtId="0" fontId="5" fillId="9" borderId="13" xfId="0" applyFont="1" applyFill="1" applyBorder="1" applyAlignment="1">
      <alignment horizontal="center"/>
    </xf>
    <xf numFmtId="0" fontId="16" fillId="6" borderId="0" xfId="0" applyFont="1" applyFill="1" applyAlignment="1">
      <alignment horizontal="center" vertical="center" wrapText="1"/>
    </xf>
    <xf numFmtId="0" fontId="16" fillId="6" borderId="6" xfId="0" applyFont="1" applyFill="1" applyBorder="1" applyAlignment="1">
      <alignment horizontal="center" vertical="center" wrapText="1"/>
    </xf>
    <xf numFmtId="0" fontId="16" fillId="6" borderId="0" xfId="0" applyFont="1" applyFill="1" applyAlignment="1">
      <alignment horizontal="center"/>
    </xf>
    <xf numFmtId="0" fontId="13" fillId="6" borderId="0" xfId="0" applyFont="1" applyFill="1" applyAlignment="1">
      <alignment horizontal="center"/>
    </xf>
    <xf numFmtId="0" fontId="15" fillId="6" borderId="0" xfId="0" applyFont="1" applyFill="1" applyAlignment="1">
      <alignment horizontal="center"/>
    </xf>
    <xf numFmtId="165" fontId="14" fillId="7" borderId="0" xfId="0" applyNumberFormat="1" applyFont="1" applyFill="1" applyAlignment="1">
      <alignment horizontal="center" vertical="center"/>
    </xf>
    <xf numFmtId="165" fontId="14" fillId="8" borderId="0" xfId="0" applyNumberFormat="1" applyFont="1" applyFill="1" applyAlignment="1">
      <alignment horizontal="center" vertical="center"/>
    </xf>
    <xf numFmtId="0" fontId="0" fillId="0" borderId="0" xfId="0" applyNumberFormat="1"/>
  </cellXfs>
  <cellStyles count="1">
    <cellStyle name="Normal" xfId="0" builtinId="0"/>
  </cellStyles>
  <dxfs count="2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ANALYZER.xlsx]Obj5!PivotTable13</c:name>
    <c:fmtId val="3"/>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b="1"/>
              <a:t>Monthly Sales &amp; Profit Trend</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3"/>
            </a:solidFill>
            <a:round/>
          </a:ln>
          <a:effectLst/>
        </c:spPr>
        <c:marker>
          <c:symbol val="circle"/>
          <c:size val="8"/>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3"/>
            </a:solidFill>
            <a:round/>
          </a:ln>
          <a:effectLst/>
        </c:spPr>
        <c:marker>
          <c:symbol val="circle"/>
          <c:size val="8"/>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40814011821927E-2"/>
          <c:y val="0.18385793096228664"/>
          <c:w val="0.63261914629092419"/>
          <c:h val="0.74100405310553319"/>
        </c:manualLayout>
      </c:layout>
      <c:lineChart>
        <c:grouping val="standard"/>
        <c:varyColors val="0"/>
        <c:ser>
          <c:idx val="0"/>
          <c:order val="0"/>
          <c:tx>
            <c:strRef>
              <c:f>'Obj5'!$B$3</c:f>
              <c:strCache>
                <c:ptCount val="1"/>
                <c:pt idx="0">
                  <c:v>Sum of Sales</c:v>
                </c:pt>
              </c:strCache>
            </c:strRef>
          </c:tx>
          <c:spPr>
            <a:ln w="38100" cap="rnd">
              <a:solidFill>
                <a:schemeClr val="accent3">
                  <a:shade val="76000"/>
                </a:schemeClr>
              </a:solidFill>
              <a:round/>
            </a:ln>
            <a:effectLst/>
          </c:spPr>
          <c:marker>
            <c:symbol val="circle"/>
            <c:size val="8"/>
            <c:spPr>
              <a:solidFill>
                <a:schemeClr val="accent3">
                  <a:shade val="76000"/>
                </a:schemeClr>
              </a:solidFill>
              <a:ln>
                <a:noFill/>
              </a:ln>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'Obj5'!$B$4:$B$13</c:f>
              <c:numCache>
                <c:formatCode>General</c:formatCode>
                <c:ptCount val="9"/>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numCache>
            </c:numRef>
          </c:val>
          <c:smooth val="0"/>
          <c:extLst>
            <c:ext xmlns:c16="http://schemas.microsoft.com/office/drawing/2014/chart" uri="{C3380CC4-5D6E-409C-BE32-E72D297353CC}">
              <c16:uniqueId val="{00000000-F059-4AEA-A379-53A5CB3A6DDA}"/>
            </c:ext>
          </c:extLst>
        </c:ser>
        <c:ser>
          <c:idx val="1"/>
          <c:order val="1"/>
          <c:tx>
            <c:strRef>
              <c:f>'Obj5'!$C$3</c:f>
              <c:strCache>
                <c:ptCount val="1"/>
                <c:pt idx="0">
                  <c:v>Sum of Profit</c:v>
                </c:pt>
              </c:strCache>
            </c:strRef>
          </c:tx>
          <c:spPr>
            <a:ln w="38100" cap="rnd">
              <a:solidFill>
                <a:schemeClr val="accent3">
                  <a:tint val="77000"/>
                </a:schemeClr>
              </a:solidFill>
              <a:round/>
            </a:ln>
            <a:effectLst/>
          </c:spPr>
          <c:marker>
            <c:symbol val="circle"/>
            <c:size val="8"/>
            <c:spPr>
              <a:solidFill>
                <a:schemeClr val="accent3">
                  <a:tint val="77000"/>
                </a:schemeClr>
              </a:solidFill>
              <a:ln>
                <a:noFill/>
              </a:ln>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'Obj5'!$C$4:$C$13</c:f>
              <c:numCache>
                <c:formatCode>General</c:formatCode>
                <c:ptCount val="9"/>
                <c:pt idx="0">
                  <c:v>6244.01</c:v>
                </c:pt>
                <c:pt idx="1">
                  <c:v>6121.3499999999995</c:v>
                </c:pt>
                <c:pt idx="2">
                  <c:v>6918</c:v>
                </c:pt>
                <c:pt idx="3">
                  <c:v>3743.85</c:v>
                </c:pt>
                <c:pt idx="4">
                  <c:v>3302.84</c:v>
                </c:pt>
                <c:pt idx="5">
                  <c:v>7457.5199999999995</c:v>
                </c:pt>
                <c:pt idx="6">
                  <c:v>4861.7</c:v>
                </c:pt>
                <c:pt idx="7">
                  <c:v>6814.8799999999992</c:v>
                </c:pt>
                <c:pt idx="8">
                  <c:v>3549.99</c:v>
                </c:pt>
              </c:numCache>
            </c:numRef>
          </c:val>
          <c:smooth val="0"/>
          <c:extLst>
            <c:ext xmlns:c16="http://schemas.microsoft.com/office/drawing/2014/chart" uri="{C3380CC4-5D6E-409C-BE32-E72D297353CC}">
              <c16:uniqueId val="{00000001-F059-4AEA-A379-53A5CB3A6DDA}"/>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ANALYZER.xlsx]Obj4!PivotTable12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pivotFmt>
      <c:pivotFmt>
        <c:idx val="5"/>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pivotFmt>
      <c:pivotFmt>
        <c:idx val="8"/>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pivotFmt>
      <c:pivotFmt>
        <c:idx val="11"/>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pivotFmt>
      <c:pivotFmt>
        <c:idx val="14"/>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pivotFmt>
      <c:pivotFmt>
        <c:idx val="17"/>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pivotFmt>
    </c:pivotFmts>
    <c:plotArea>
      <c:layout/>
      <c:doughnutChart>
        <c:varyColors val="1"/>
        <c:ser>
          <c:idx val="0"/>
          <c:order val="0"/>
          <c:tx>
            <c:strRef>
              <c:f>'Obj4'!$B$3</c:f>
              <c:strCache>
                <c:ptCount val="1"/>
                <c:pt idx="0">
                  <c:v>Total</c:v>
                </c:pt>
              </c:strCache>
            </c:strRef>
          </c:tx>
          <c:dPt>
            <c:idx val="0"/>
            <c:bubble3D val="0"/>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9B8A-4116-8E07-D423500FED33}"/>
              </c:ext>
            </c:extLst>
          </c:dPt>
          <c:dPt>
            <c:idx val="1"/>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9B8A-4116-8E07-D423500FED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B8A-4116-8E07-D423500FED33}"/>
              </c:ext>
            </c:extLst>
          </c:dPt>
          <c:dPt>
            <c:idx val="3"/>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9B8A-4116-8E07-D423500FED33}"/>
              </c:ext>
            </c:extLst>
          </c:dPt>
          <c:dPt>
            <c:idx val="4"/>
            <c:bubble3D val="0"/>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9B8A-4116-8E07-D423500FED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'Obj4'!$A$4:$A$9</c:f>
              <c:strCache>
                <c:ptCount val="5"/>
                <c:pt idx="0">
                  <c:v>Books</c:v>
                </c:pt>
                <c:pt idx="1">
                  <c:v>Clothing</c:v>
                </c:pt>
                <c:pt idx="2">
                  <c:v>Electronics</c:v>
                </c:pt>
                <c:pt idx="3">
                  <c:v>Furniture</c:v>
                </c:pt>
                <c:pt idx="4">
                  <c:v>Office Supplies</c:v>
                </c:pt>
              </c:strCache>
            </c:strRef>
          </c:cat>
          <c:val>
            <c:numRef>
              <c:f>'Obj4'!$B$4:$B$9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9B8A-4116-8E07-D423500FED3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ANALYZER.xlsx]Obj3!PivotTable11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t>Sales By Product &amp; Region</a:t>
            </a:r>
          </a:p>
        </c:rich>
      </c:tx>
      <c:layout>
        <c:manualLayout>
          <c:xMode val="edge"/>
          <c:yMode val="edge"/>
          <c:x val="0.25484800576647237"/>
          <c:y val="6.43186834096536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w="9525">
              <a:solidFill>
                <a:schemeClr val="accent3">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w="9525">
              <a:solidFill>
                <a:schemeClr val="accent3">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'Obj3'!$B$3:$B$4</c:f>
              <c:strCache>
                <c:ptCount val="1"/>
                <c:pt idx="0">
                  <c:v>Books</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97DF-4FC9-99F3-300353E5499E}"/>
            </c:ext>
          </c:extLst>
        </c:ser>
        <c:ser>
          <c:idx val="1"/>
          <c:order val="1"/>
          <c:tx>
            <c:strRef>
              <c:f>'Obj3'!$C$3:$C$4</c:f>
              <c:strCache>
                <c:ptCount val="1"/>
                <c:pt idx="0">
                  <c:v>Clothing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97DF-4FC9-99F3-300353E5499E}"/>
            </c:ext>
          </c:extLst>
        </c:ser>
        <c:ser>
          <c:idx val="2"/>
          <c:order val="2"/>
          <c:tx>
            <c:strRef>
              <c:f>'Obj3'!$D$3:$D$4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97DF-4FC9-99F3-300353E5499E}"/>
            </c:ext>
          </c:extLst>
        </c:ser>
        <c:ser>
          <c:idx val="3"/>
          <c:order val="3"/>
          <c:tx>
            <c:strRef>
              <c:f>'Obj3'!$E$3:$E$4</c:f>
              <c:strCache>
                <c:ptCount val="1"/>
                <c:pt idx="0">
                  <c:v>Furniture</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97DF-4FC9-99F3-300353E5499E}"/>
            </c:ext>
          </c:extLst>
        </c:ser>
        <c:ser>
          <c:idx val="4"/>
          <c:order val="4"/>
          <c:tx>
            <c:strRef>
              <c:f>'Obj3'!$F$3:$F$4</c:f>
              <c:strCache>
                <c:ptCount val="1"/>
                <c:pt idx="0">
                  <c:v>Office Supplies</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97DF-4FC9-99F3-300353E5499E}"/>
            </c:ext>
          </c:extLst>
        </c:ser>
        <c:dLbls>
          <c:showLegendKey val="0"/>
          <c:showVal val="0"/>
          <c:showCatName val="0"/>
          <c:showSerName val="0"/>
          <c:showPercent val="0"/>
          <c:showBubbleSize val="0"/>
        </c:dLbls>
        <c:gapWidth val="150"/>
        <c:shape val="box"/>
        <c:axId val="743364656"/>
        <c:axId val="743361776"/>
        <c:axId val="0"/>
      </c:bar3DChart>
      <c:catAx>
        <c:axId val="743364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61776"/>
        <c:crosses val="autoZero"/>
        <c:auto val="1"/>
        <c:lblAlgn val="ctr"/>
        <c:lblOffset val="100"/>
        <c:noMultiLvlLbl val="0"/>
      </c:catAx>
      <c:valAx>
        <c:axId val="743361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ANALYZER.xlsx]Obj3!PivotTable11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t>Sales By Product &amp; Region</a:t>
            </a:r>
          </a:p>
        </c:rich>
      </c:tx>
      <c:layout>
        <c:manualLayout>
          <c:xMode val="edge"/>
          <c:yMode val="edge"/>
          <c:x val="0.25484800576647237"/>
          <c:y val="6.43186834096536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w="9525">
              <a:solidFill>
                <a:schemeClr val="accent3">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w="9525">
              <a:solidFill>
                <a:schemeClr val="accent3">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'Obj3'!$B$3:$B$4</c:f>
              <c:strCache>
                <c:ptCount val="1"/>
                <c:pt idx="0">
                  <c:v>Books</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113C-4267-9F3B-59C20519B0AD}"/>
            </c:ext>
          </c:extLst>
        </c:ser>
        <c:ser>
          <c:idx val="1"/>
          <c:order val="1"/>
          <c:tx>
            <c:strRef>
              <c:f>'Obj3'!$C$3:$C$4</c:f>
              <c:strCache>
                <c:ptCount val="1"/>
                <c:pt idx="0">
                  <c:v>Clothing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4-88C5-4F34-9712-FB7968CB7007}"/>
            </c:ext>
          </c:extLst>
        </c:ser>
        <c:ser>
          <c:idx val="2"/>
          <c:order val="2"/>
          <c:tx>
            <c:strRef>
              <c:f>'Obj3'!$D$3:$D$4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5-88C5-4F34-9712-FB7968CB7007}"/>
            </c:ext>
          </c:extLst>
        </c:ser>
        <c:ser>
          <c:idx val="3"/>
          <c:order val="3"/>
          <c:tx>
            <c:strRef>
              <c:f>'Obj3'!$E$3:$E$4</c:f>
              <c:strCache>
                <c:ptCount val="1"/>
                <c:pt idx="0">
                  <c:v>Furniture</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6-88C5-4F34-9712-FB7968CB7007}"/>
            </c:ext>
          </c:extLst>
        </c:ser>
        <c:ser>
          <c:idx val="4"/>
          <c:order val="4"/>
          <c:tx>
            <c:strRef>
              <c:f>'Obj3'!$F$3:$F$4</c:f>
              <c:strCache>
                <c:ptCount val="1"/>
                <c:pt idx="0">
                  <c:v>Office Supplies</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7-88C5-4F34-9712-FB7968CB7007}"/>
            </c:ext>
          </c:extLst>
        </c:ser>
        <c:dLbls>
          <c:showLegendKey val="0"/>
          <c:showVal val="0"/>
          <c:showCatName val="0"/>
          <c:showSerName val="0"/>
          <c:showPercent val="0"/>
          <c:showBubbleSize val="0"/>
        </c:dLbls>
        <c:gapWidth val="150"/>
        <c:shape val="box"/>
        <c:axId val="743364656"/>
        <c:axId val="743361776"/>
        <c:axId val="0"/>
      </c:bar3DChart>
      <c:catAx>
        <c:axId val="743364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61776"/>
        <c:crosses val="autoZero"/>
        <c:auto val="1"/>
        <c:lblAlgn val="ctr"/>
        <c:lblOffset val="100"/>
        <c:noMultiLvlLbl val="0"/>
      </c:catAx>
      <c:valAx>
        <c:axId val="743361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ANALYZER.xlsx]Obj4!PivotTable12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pivotFmt>
      <c:pivotFmt>
        <c:idx val="5"/>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pivotFmt>
    </c:pivotFmts>
    <c:plotArea>
      <c:layout/>
      <c:doughnutChart>
        <c:varyColors val="1"/>
        <c:ser>
          <c:idx val="0"/>
          <c:order val="0"/>
          <c:tx>
            <c:strRef>
              <c:f>'Obj4'!$B$3</c:f>
              <c:strCache>
                <c:ptCount val="1"/>
                <c:pt idx="0">
                  <c:v>Total</c:v>
                </c:pt>
              </c:strCache>
            </c:strRef>
          </c:tx>
          <c:dPt>
            <c:idx val="0"/>
            <c:bubble3D val="0"/>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991A-45B2-9B8D-EA850C9ABBDF}"/>
              </c:ext>
            </c:extLst>
          </c:dPt>
          <c:dPt>
            <c:idx val="1"/>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991A-45B2-9B8D-EA850C9ABB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91A-45B2-9B8D-EA850C9ABBDF}"/>
              </c:ext>
            </c:extLst>
          </c:dPt>
          <c:dPt>
            <c:idx val="3"/>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991A-45B2-9B8D-EA850C9ABBDF}"/>
              </c:ext>
            </c:extLst>
          </c:dPt>
          <c:dPt>
            <c:idx val="4"/>
            <c:bubble3D val="0"/>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991A-45B2-9B8D-EA850C9AB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'Obj4'!$A$4:$A$9</c:f>
              <c:strCache>
                <c:ptCount val="5"/>
                <c:pt idx="0">
                  <c:v>Books</c:v>
                </c:pt>
                <c:pt idx="1">
                  <c:v>Clothing</c:v>
                </c:pt>
                <c:pt idx="2">
                  <c:v>Electronics</c:v>
                </c:pt>
                <c:pt idx="3">
                  <c:v>Furniture</c:v>
                </c:pt>
                <c:pt idx="4">
                  <c:v>Office Supplies</c:v>
                </c:pt>
              </c:strCache>
            </c:strRef>
          </c:cat>
          <c:val>
            <c:numRef>
              <c:f>'Obj4'!$B$4:$B$9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1D4-4F98-8028-0CE4CC7E73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ANALYZER.xlsx]Obj5!PivotTable13</c:name>
    <c:fmtId val="0"/>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b="1"/>
              <a:t>Monthly Sales Trend</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3"/>
            </a:solidFill>
            <a:round/>
          </a:ln>
          <a:effectLst/>
        </c:spPr>
        <c:marker>
          <c:symbol val="circle"/>
          <c:size val="8"/>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3"/>
            </a:solidFill>
            <a:round/>
          </a:ln>
          <a:effectLst/>
        </c:spPr>
        <c:marker>
          <c:symbol val="circle"/>
          <c:size val="8"/>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'Obj5'!$B$3</c:f>
              <c:strCache>
                <c:ptCount val="1"/>
                <c:pt idx="0">
                  <c:v>Sum of Sales</c:v>
                </c:pt>
              </c:strCache>
            </c:strRef>
          </c:tx>
          <c:spPr>
            <a:ln w="38100" cap="rnd">
              <a:solidFill>
                <a:schemeClr val="accent3">
                  <a:shade val="76000"/>
                </a:schemeClr>
              </a:solidFill>
              <a:round/>
            </a:ln>
            <a:effectLst/>
          </c:spPr>
          <c:marker>
            <c:symbol val="circle"/>
            <c:size val="8"/>
            <c:spPr>
              <a:solidFill>
                <a:schemeClr val="accent3">
                  <a:shade val="76000"/>
                </a:schemeClr>
              </a:solidFill>
              <a:ln>
                <a:noFill/>
              </a:ln>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'Obj5'!$B$4:$B$13</c:f>
              <c:numCache>
                <c:formatCode>General</c:formatCode>
                <c:ptCount val="9"/>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numCache>
            </c:numRef>
          </c:val>
          <c:smooth val="0"/>
          <c:extLst>
            <c:ext xmlns:c16="http://schemas.microsoft.com/office/drawing/2014/chart" uri="{C3380CC4-5D6E-409C-BE32-E72D297353CC}">
              <c16:uniqueId val="{00000000-9B77-478D-94B3-A76DC24EA0DC}"/>
            </c:ext>
          </c:extLst>
        </c:ser>
        <c:ser>
          <c:idx val="1"/>
          <c:order val="1"/>
          <c:tx>
            <c:strRef>
              <c:f>'Obj5'!$C$3</c:f>
              <c:strCache>
                <c:ptCount val="1"/>
                <c:pt idx="0">
                  <c:v>Sum of Profit</c:v>
                </c:pt>
              </c:strCache>
            </c:strRef>
          </c:tx>
          <c:spPr>
            <a:ln w="38100" cap="rnd">
              <a:solidFill>
                <a:schemeClr val="accent3">
                  <a:tint val="77000"/>
                </a:schemeClr>
              </a:solidFill>
              <a:round/>
            </a:ln>
            <a:effectLst/>
          </c:spPr>
          <c:marker>
            <c:symbol val="circle"/>
            <c:size val="8"/>
            <c:spPr>
              <a:solidFill>
                <a:schemeClr val="accent3">
                  <a:tint val="77000"/>
                </a:schemeClr>
              </a:solidFill>
              <a:ln>
                <a:noFill/>
              </a:ln>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'Obj5'!$C$4:$C$13</c:f>
              <c:numCache>
                <c:formatCode>General</c:formatCode>
                <c:ptCount val="9"/>
                <c:pt idx="0">
                  <c:v>6244.01</c:v>
                </c:pt>
                <c:pt idx="1">
                  <c:v>6121.3499999999995</c:v>
                </c:pt>
                <c:pt idx="2">
                  <c:v>6918</c:v>
                </c:pt>
                <c:pt idx="3">
                  <c:v>3743.85</c:v>
                </c:pt>
                <c:pt idx="4">
                  <c:v>3302.84</c:v>
                </c:pt>
                <c:pt idx="5">
                  <c:v>7457.5199999999995</c:v>
                </c:pt>
                <c:pt idx="6">
                  <c:v>4861.7</c:v>
                </c:pt>
                <c:pt idx="7">
                  <c:v>6814.8799999999992</c:v>
                </c:pt>
                <c:pt idx="8">
                  <c:v>3549.99</c:v>
                </c:pt>
              </c:numCache>
            </c:numRef>
          </c:val>
          <c:smooth val="0"/>
          <c:extLst>
            <c:ext xmlns:c16="http://schemas.microsoft.com/office/drawing/2014/chart" uri="{C3380CC4-5D6E-409C-BE32-E72D297353CC}">
              <c16:uniqueId val="{00000000-B493-4E5C-A40F-CF08C1113E7D}"/>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380302</xdr:colOff>
      <xdr:row>20</xdr:row>
      <xdr:rowOff>137187</xdr:rowOff>
    </xdr:from>
    <xdr:to>
      <xdr:col>8</xdr:col>
      <xdr:colOff>88202</xdr:colOff>
      <xdr:row>38</xdr:row>
      <xdr:rowOff>35169</xdr:rowOff>
    </xdr:to>
    <xdr:graphicFrame macro="">
      <xdr:nvGraphicFramePr>
        <xdr:cNvPr id="2" name="Chart 1">
          <a:extLst>
            <a:ext uri="{FF2B5EF4-FFF2-40B4-BE49-F238E27FC236}">
              <a16:creationId xmlns:a16="http://schemas.microsoft.com/office/drawing/2014/main" id="{07BC0353-7689-4A98-B355-A32495476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444500</xdr:colOff>
      <xdr:row>2</xdr:row>
      <xdr:rowOff>24311</xdr:rowOff>
    </xdr:from>
    <xdr:to>
      <xdr:col>4</xdr:col>
      <xdr:colOff>426357</xdr:colOff>
      <xdr:row>9</xdr:row>
      <xdr:rowOff>90365</xdr:rowOff>
    </xdr:to>
    <mc:AlternateContent xmlns:mc="http://schemas.openxmlformats.org/markup-compatibility/2006" xmlns:a14="http://schemas.microsoft.com/office/drawing/2010/main">
      <mc:Choice Requires="a14">
        <xdr:graphicFrame macro="">
          <xdr:nvGraphicFramePr>
            <xdr:cNvPr id="3" name="Months (Order_Date) 1">
              <a:extLst>
                <a:ext uri="{FF2B5EF4-FFF2-40B4-BE49-F238E27FC236}">
                  <a16:creationId xmlns:a16="http://schemas.microsoft.com/office/drawing/2014/main" id="{0A8DF25C-6B16-4476-97F6-5C1CE6A72D85}"/>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444500" y="399449"/>
              <a:ext cx="2420257" cy="1484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566057</xdr:colOff>
      <xdr:row>2</xdr:row>
      <xdr:rowOff>9072</xdr:rowOff>
    </xdr:from>
    <xdr:to>
      <xdr:col>7</xdr:col>
      <xdr:colOff>571500</xdr:colOff>
      <xdr:row>9</xdr:row>
      <xdr:rowOff>43779</xdr:rowOff>
    </xdr:to>
    <mc:AlternateContent xmlns:mc="http://schemas.openxmlformats.org/markup-compatibility/2006" xmlns:a14="http://schemas.microsoft.com/office/drawing/2010/main">
      <mc:Choice Requires="a14">
        <xdr:graphicFrame macro="">
          <xdr:nvGraphicFramePr>
            <xdr:cNvPr id="4" name="Years (Order_Date) 1">
              <a:extLst>
                <a:ext uri="{FF2B5EF4-FFF2-40B4-BE49-F238E27FC236}">
                  <a16:creationId xmlns:a16="http://schemas.microsoft.com/office/drawing/2014/main" id="{8E30B868-04B7-4B40-9CF3-F21F3FAFE7DF}"/>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3004457" y="384210"/>
              <a:ext cx="1834243" cy="145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453571</xdr:colOff>
      <xdr:row>10</xdr:row>
      <xdr:rowOff>127726</xdr:rowOff>
    </xdr:from>
    <xdr:to>
      <xdr:col>4</xdr:col>
      <xdr:colOff>163286</xdr:colOff>
      <xdr:row>18</xdr:row>
      <xdr:rowOff>271414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55421B8-BB75-4073-9F0F-7900A2E54B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3571" y="2108926"/>
              <a:ext cx="2148115" cy="1726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316774</xdr:colOff>
      <xdr:row>10</xdr:row>
      <xdr:rowOff>90714</xdr:rowOff>
    </xdr:from>
    <xdr:to>
      <xdr:col>7</xdr:col>
      <xdr:colOff>470989</xdr:colOff>
      <xdr:row>18</xdr:row>
      <xdr:rowOff>289556</xdr:rowOff>
    </xdr:to>
    <mc:AlternateContent xmlns:mc="http://schemas.openxmlformats.org/markup-compatibility/2006" xmlns:a14="http://schemas.microsoft.com/office/drawing/2010/main">
      <mc:Choice Requires="a14">
        <xdr:graphicFrame macro="">
          <xdr:nvGraphicFramePr>
            <xdr:cNvPr id="8" name="Product_Category 2">
              <a:extLst>
                <a:ext uri="{FF2B5EF4-FFF2-40B4-BE49-F238E27FC236}">
                  <a16:creationId xmlns:a16="http://schemas.microsoft.com/office/drawing/2014/main" id="{BE5223E8-E5E9-4728-BFDA-DF312AB2E1E6}"/>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755174" y="2071914"/>
              <a:ext cx="1983015" cy="1781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468923</xdr:colOff>
      <xdr:row>20</xdr:row>
      <xdr:rowOff>140676</xdr:rowOff>
    </xdr:from>
    <xdr:to>
      <xdr:col>16</xdr:col>
      <xdr:colOff>126023</xdr:colOff>
      <xdr:row>37</xdr:row>
      <xdr:rowOff>175846</xdr:rowOff>
    </xdr:to>
    <xdr:graphicFrame macro="">
      <xdr:nvGraphicFramePr>
        <xdr:cNvPr id="6" name="Chart 5">
          <a:extLst>
            <a:ext uri="{FF2B5EF4-FFF2-40B4-BE49-F238E27FC236}">
              <a16:creationId xmlns:a16="http://schemas.microsoft.com/office/drawing/2014/main" id="{06791CD2-B1F3-4E92-8311-964F12CD7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269632</xdr:colOff>
      <xdr:row>2</xdr:row>
      <xdr:rowOff>11723</xdr:rowOff>
    </xdr:from>
    <xdr:to>
      <xdr:col>16</xdr:col>
      <xdr:colOff>117232</xdr:colOff>
      <xdr:row>18</xdr:row>
      <xdr:rowOff>304800</xdr:rowOff>
    </xdr:to>
    <xdr:graphicFrame macro="">
      <xdr:nvGraphicFramePr>
        <xdr:cNvPr id="5" name="Chart 4">
          <a:extLst>
            <a:ext uri="{FF2B5EF4-FFF2-40B4-BE49-F238E27FC236}">
              <a16:creationId xmlns:a16="http://schemas.microsoft.com/office/drawing/2014/main" id="{2C2CACCD-0E1D-4144-9C1B-CDAF0BA73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390070</xdr:colOff>
      <xdr:row>12</xdr:row>
      <xdr:rowOff>161833</xdr:rowOff>
    </xdr:from>
    <xdr:to>
      <xdr:col>2</xdr:col>
      <xdr:colOff>277584</xdr:colOff>
      <xdr:row>22</xdr:row>
      <xdr:rowOff>9070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8AAFD1A-A419-DB09-4667-D022D03258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070" y="2338976"/>
              <a:ext cx="1828800" cy="1661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398417</xdr:colOff>
      <xdr:row>12</xdr:row>
      <xdr:rowOff>170181</xdr:rowOff>
    </xdr:from>
    <xdr:to>
      <xdr:col>5</xdr:col>
      <xdr:colOff>920931</xdr:colOff>
      <xdr:row>22</xdr:row>
      <xdr:rowOff>1</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71E399E8-7798-9F71-352A-00C1A40F5C0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956560" y="2347324"/>
              <a:ext cx="1828800" cy="1644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562428</xdr:colOff>
      <xdr:row>1</xdr:row>
      <xdr:rowOff>81642</xdr:rowOff>
    </xdr:from>
    <xdr:to>
      <xdr:col>19</xdr:col>
      <xdr:colOff>553357</xdr:colOff>
      <xdr:row>23</xdr:row>
      <xdr:rowOff>45915</xdr:rowOff>
    </xdr:to>
    <xdr:graphicFrame macro="">
      <xdr:nvGraphicFramePr>
        <xdr:cNvPr id="2" name="Chart 1">
          <a:extLst>
            <a:ext uri="{FF2B5EF4-FFF2-40B4-BE49-F238E27FC236}">
              <a16:creationId xmlns:a16="http://schemas.microsoft.com/office/drawing/2014/main" id="{24C07C16-2A54-4C67-B372-A57725890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1</xdr:row>
      <xdr:rowOff>179070</xdr:rowOff>
    </xdr:from>
    <xdr:to>
      <xdr:col>10</xdr:col>
      <xdr:colOff>464820</xdr:colOff>
      <xdr:row>16</xdr:row>
      <xdr:rowOff>179070</xdr:rowOff>
    </xdr:to>
    <xdr:graphicFrame macro="">
      <xdr:nvGraphicFramePr>
        <xdr:cNvPr id="2" name="Chart 1">
          <a:extLst>
            <a:ext uri="{FF2B5EF4-FFF2-40B4-BE49-F238E27FC236}">
              <a16:creationId xmlns:a16="http://schemas.microsoft.com/office/drawing/2014/main" id="{6D054592-E4B1-6F3D-EED6-F5869173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10</xdr:row>
      <xdr:rowOff>15241</xdr:rowOff>
    </xdr:from>
    <xdr:to>
      <xdr:col>2</xdr:col>
      <xdr:colOff>297180</xdr:colOff>
      <xdr:row>19</xdr:row>
      <xdr:rowOff>160021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FB85950-98A3-8153-19AD-2ED25BD85C3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67640" y="184404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1</xdr:row>
      <xdr:rowOff>175260</xdr:rowOff>
    </xdr:from>
    <xdr:to>
      <xdr:col>15</xdr:col>
      <xdr:colOff>7620</xdr:colOff>
      <xdr:row>20</xdr:row>
      <xdr:rowOff>175260</xdr:rowOff>
    </xdr:to>
    <xdr:graphicFrame macro="">
      <xdr:nvGraphicFramePr>
        <xdr:cNvPr id="2" name="Chart 1">
          <a:extLst>
            <a:ext uri="{FF2B5EF4-FFF2-40B4-BE49-F238E27FC236}">
              <a16:creationId xmlns:a16="http://schemas.microsoft.com/office/drawing/2014/main" id="{3E5689CB-2EDF-8302-BB7D-BC320543E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548640</xdr:colOff>
      <xdr:row>9</xdr:row>
      <xdr:rowOff>175260</xdr:rowOff>
    </xdr:from>
    <xdr:to>
      <xdr:col>21</xdr:col>
      <xdr:colOff>15240</xdr:colOff>
      <xdr:row>17</xdr:row>
      <xdr:rowOff>152399</xdr:rowOff>
    </xdr:to>
    <mc:AlternateContent xmlns:mc="http://schemas.openxmlformats.org/markup-compatibility/2006" xmlns:a14="http://schemas.microsoft.com/office/drawing/2010/main">
      <mc:Choice Requires="a14">
        <xdr:graphicFrame macro="">
          <xdr:nvGraphicFramePr>
            <xdr:cNvPr id="3" name="Months (Order_Date)">
              <a:extLst>
                <a:ext uri="{FF2B5EF4-FFF2-40B4-BE49-F238E27FC236}">
                  <a16:creationId xmlns:a16="http://schemas.microsoft.com/office/drawing/2014/main" id="{9E6CD2F9-E2EA-638A-5DA7-ED314A4B428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0965180" y="1821180"/>
              <a:ext cx="25146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3</xdr:row>
      <xdr:rowOff>137161</xdr:rowOff>
    </xdr:from>
    <xdr:to>
      <xdr:col>19</xdr:col>
      <xdr:colOff>594360</xdr:colOff>
      <xdr:row>8</xdr:row>
      <xdr:rowOff>91441</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98841DC8-E569-8616-CBE2-2758E047E7F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1010900" y="68580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 Suthar" refreshedDate="46008.779743287036" createdVersion="8" refreshedVersion="8" minRefreshableVersion="3" recordCount="200" xr:uid="{D10093DD-29A2-453F-AD28-37FAEAA6FA95}">
  <cacheSource type="worksheet">
    <worksheetSource ref="A1:I201" sheet="Dataset"/>
  </cacheSource>
  <cacheFields count="12">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7402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40"/>
  </r>
  <r>
    <s v="CUST028"/>
    <x v="3"/>
    <x v="4"/>
    <x v="4"/>
    <x v="41"/>
    <n v="5"/>
    <n v="0.2"/>
    <x v="26"/>
    <x v="41"/>
  </r>
  <r>
    <s v="CUST023"/>
    <x v="19"/>
    <x v="1"/>
    <x v="4"/>
    <x v="42"/>
    <n v="11"/>
    <n v="0.15"/>
    <x v="26"/>
    <x v="42"/>
  </r>
  <r>
    <s v="CUST021"/>
    <x v="3"/>
    <x v="4"/>
    <x v="0"/>
    <x v="43"/>
    <n v="19"/>
    <n v="0.1"/>
    <x v="27"/>
    <x v="43"/>
  </r>
  <r>
    <s v="CUST026"/>
    <x v="21"/>
    <x v="3"/>
    <x v="3"/>
    <x v="44"/>
    <n v="12"/>
    <n v="0.15"/>
    <x v="27"/>
    <x v="44"/>
  </r>
  <r>
    <s v="CUST017"/>
    <x v="22"/>
    <x v="4"/>
    <x v="2"/>
    <x v="45"/>
    <n v="2"/>
    <n v="0"/>
    <x v="28"/>
    <x v="45"/>
  </r>
  <r>
    <s v="CUST025"/>
    <x v="19"/>
    <x v="4"/>
    <x v="4"/>
    <x v="46"/>
    <n v="8"/>
    <n v="0.15"/>
    <x v="28"/>
    <x v="46"/>
  </r>
  <r>
    <s v="CUST011"/>
    <x v="6"/>
    <x v="3"/>
    <x v="4"/>
    <x v="47"/>
    <n v="12"/>
    <n v="0"/>
    <x v="29"/>
    <x v="47"/>
  </r>
  <r>
    <s v="CUST021"/>
    <x v="4"/>
    <x v="1"/>
    <x v="3"/>
    <x v="48"/>
    <n v="19"/>
    <n v="0.2"/>
    <x v="30"/>
    <x v="48"/>
  </r>
  <r>
    <s v="CUST008"/>
    <x v="16"/>
    <x v="2"/>
    <x v="2"/>
    <x v="49"/>
    <n v="6"/>
    <n v="0.1"/>
    <x v="31"/>
    <x v="49"/>
  </r>
  <r>
    <s v="CUST007"/>
    <x v="7"/>
    <x v="2"/>
    <x v="2"/>
    <x v="50"/>
    <n v="6"/>
    <n v="0.05"/>
    <x v="32"/>
    <x v="50"/>
  </r>
  <r>
    <s v="CUST015"/>
    <x v="3"/>
    <x v="2"/>
    <x v="1"/>
    <x v="51"/>
    <n v="7"/>
    <n v="0.1"/>
    <x v="33"/>
    <x v="51"/>
  </r>
  <r>
    <s v="CUST030"/>
    <x v="23"/>
    <x v="2"/>
    <x v="3"/>
    <x v="52"/>
    <n v="2"/>
    <n v="0"/>
    <x v="34"/>
    <x v="52"/>
  </r>
  <r>
    <s v="CUST002"/>
    <x v="14"/>
    <x v="0"/>
    <x v="0"/>
    <x v="53"/>
    <n v="18"/>
    <n v="0.1"/>
    <x v="35"/>
    <x v="53"/>
  </r>
  <r>
    <s v="CUST009"/>
    <x v="9"/>
    <x v="3"/>
    <x v="2"/>
    <x v="54"/>
    <n v="15"/>
    <n v="0.15"/>
    <x v="36"/>
    <x v="54"/>
  </r>
  <r>
    <s v="CUST005"/>
    <x v="1"/>
    <x v="2"/>
    <x v="3"/>
    <x v="55"/>
    <n v="10"/>
    <n v="0.2"/>
    <x v="36"/>
    <x v="55"/>
  </r>
  <r>
    <s v="CUST030"/>
    <x v="24"/>
    <x v="4"/>
    <x v="0"/>
    <x v="56"/>
    <n v="11"/>
    <n v="0"/>
    <x v="37"/>
    <x v="56"/>
  </r>
  <r>
    <s v="CUST029"/>
    <x v="23"/>
    <x v="3"/>
    <x v="2"/>
    <x v="57"/>
    <n v="1"/>
    <n v="0.2"/>
    <x v="38"/>
    <x v="57"/>
  </r>
  <r>
    <s v="CUST003"/>
    <x v="9"/>
    <x v="3"/>
    <x v="0"/>
    <x v="58"/>
    <n v="2"/>
    <n v="0.1"/>
    <x v="39"/>
    <x v="58"/>
  </r>
  <r>
    <s v="CUST012"/>
    <x v="20"/>
    <x v="0"/>
    <x v="1"/>
    <x v="59"/>
    <n v="17"/>
    <n v="0"/>
    <x v="39"/>
    <x v="59"/>
  </r>
  <r>
    <s v="CUST021"/>
    <x v="6"/>
    <x v="1"/>
    <x v="0"/>
    <x v="60"/>
    <n v="8"/>
    <n v="0.1"/>
    <x v="40"/>
    <x v="60"/>
  </r>
  <r>
    <s v="CUST010"/>
    <x v="18"/>
    <x v="4"/>
    <x v="4"/>
    <x v="61"/>
    <n v="9"/>
    <n v="0"/>
    <x v="41"/>
    <x v="61"/>
  </r>
  <r>
    <s v="CUST026"/>
    <x v="6"/>
    <x v="1"/>
    <x v="3"/>
    <x v="62"/>
    <n v="17"/>
    <n v="0.1"/>
    <x v="42"/>
    <x v="62"/>
  </r>
  <r>
    <s v="CUST003"/>
    <x v="0"/>
    <x v="0"/>
    <x v="2"/>
    <x v="63"/>
    <n v="17"/>
    <n v="0.2"/>
    <x v="42"/>
    <x v="63"/>
  </r>
  <r>
    <s v="CUST029"/>
    <x v="21"/>
    <x v="2"/>
    <x v="2"/>
    <x v="64"/>
    <n v="5"/>
    <n v="0.05"/>
    <x v="43"/>
    <x v="64"/>
  </r>
  <r>
    <s v="CUST003"/>
    <x v="3"/>
    <x v="3"/>
    <x v="3"/>
    <x v="65"/>
    <n v="15"/>
    <n v="0.15"/>
    <x v="44"/>
    <x v="65"/>
  </r>
  <r>
    <s v="CUST002"/>
    <x v="6"/>
    <x v="2"/>
    <x v="0"/>
    <x v="66"/>
    <n v="12"/>
    <n v="0.05"/>
    <x v="45"/>
    <x v="66"/>
  </r>
  <r>
    <s v="CUST020"/>
    <x v="18"/>
    <x v="0"/>
    <x v="3"/>
    <x v="67"/>
    <n v="5"/>
    <n v="0.05"/>
    <x v="45"/>
    <x v="67"/>
  </r>
  <r>
    <s v="CUST021"/>
    <x v="13"/>
    <x v="3"/>
    <x v="2"/>
    <x v="68"/>
    <n v="11"/>
    <n v="0.05"/>
    <x v="46"/>
    <x v="68"/>
  </r>
  <r>
    <s v="CUST008"/>
    <x v="0"/>
    <x v="4"/>
    <x v="4"/>
    <x v="69"/>
    <n v="1"/>
    <n v="0.05"/>
    <x v="47"/>
    <x v="69"/>
  </r>
  <r>
    <s v="CUST030"/>
    <x v="18"/>
    <x v="4"/>
    <x v="2"/>
    <x v="70"/>
    <n v="1"/>
    <n v="0.05"/>
    <x v="48"/>
    <x v="70"/>
  </r>
  <r>
    <s v="CUST020"/>
    <x v="25"/>
    <x v="2"/>
    <x v="4"/>
    <x v="71"/>
    <n v="19"/>
    <n v="0"/>
    <x v="49"/>
    <x v="71"/>
  </r>
  <r>
    <s v="CUST024"/>
    <x v="18"/>
    <x v="1"/>
    <x v="2"/>
    <x v="72"/>
    <n v="10"/>
    <n v="0.15"/>
    <x v="50"/>
    <x v="72"/>
  </r>
  <r>
    <s v="CUST012"/>
    <x v="26"/>
    <x v="2"/>
    <x v="0"/>
    <x v="73"/>
    <n v="5"/>
    <n v="0.2"/>
    <x v="50"/>
    <x v="73"/>
  </r>
  <r>
    <s v="CUST024"/>
    <x v="9"/>
    <x v="0"/>
    <x v="2"/>
    <x v="74"/>
    <n v="13"/>
    <n v="0.2"/>
    <x v="51"/>
    <x v="74"/>
  </r>
  <r>
    <s v="CUST012"/>
    <x v="5"/>
    <x v="0"/>
    <x v="2"/>
    <x v="75"/>
    <n v="5"/>
    <n v="0.15"/>
    <x v="52"/>
    <x v="75"/>
  </r>
  <r>
    <s v="CUST005"/>
    <x v="17"/>
    <x v="4"/>
    <x v="3"/>
    <x v="76"/>
    <n v="3"/>
    <n v="0"/>
    <x v="53"/>
    <x v="76"/>
  </r>
  <r>
    <s v="CUST004"/>
    <x v="12"/>
    <x v="3"/>
    <x v="3"/>
    <x v="77"/>
    <n v="7"/>
    <n v="0.05"/>
    <x v="54"/>
    <x v="77"/>
  </r>
  <r>
    <s v="CUST026"/>
    <x v="5"/>
    <x v="0"/>
    <x v="4"/>
    <x v="78"/>
    <n v="1"/>
    <n v="0"/>
    <x v="55"/>
    <x v="78"/>
  </r>
  <r>
    <s v="CUST030"/>
    <x v="6"/>
    <x v="1"/>
    <x v="1"/>
    <x v="79"/>
    <n v="18"/>
    <n v="0.1"/>
    <x v="56"/>
    <x v="79"/>
  </r>
  <r>
    <s v="CUST007"/>
    <x v="18"/>
    <x v="3"/>
    <x v="0"/>
    <x v="80"/>
    <n v="19"/>
    <n v="0"/>
    <x v="57"/>
    <x v="80"/>
  </r>
  <r>
    <s v="CUST020"/>
    <x v="7"/>
    <x v="1"/>
    <x v="3"/>
    <x v="81"/>
    <n v="17"/>
    <n v="0"/>
    <x v="57"/>
    <x v="81"/>
  </r>
  <r>
    <s v="CUST028"/>
    <x v="15"/>
    <x v="4"/>
    <x v="2"/>
    <x v="82"/>
    <n v="7"/>
    <n v="0.1"/>
    <x v="58"/>
    <x v="82"/>
  </r>
  <r>
    <s v="CUST005"/>
    <x v="14"/>
    <x v="4"/>
    <x v="0"/>
    <x v="83"/>
    <n v="7"/>
    <n v="0.05"/>
    <x v="58"/>
    <x v="83"/>
  </r>
  <r>
    <s v="CUST015"/>
    <x v="8"/>
    <x v="0"/>
    <x v="1"/>
    <x v="84"/>
    <n v="4"/>
    <n v="0.1"/>
    <x v="59"/>
    <x v="84"/>
  </r>
  <r>
    <s v="CUST003"/>
    <x v="0"/>
    <x v="2"/>
    <x v="2"/>
    <x v="85"/>
    <n v="17"/>
    <n v="0"/>
    <x v="59"/>
    <x v="85"/>
  </r>
  <r>
    <s v="CUST023"/>
    <x v="18"/>
    <x v="1"/>
    <x v="3"/>
    <x v="86"/>
    <n v="9"/>
    <n v="0"/>
    <x v="60"/>
    <x v="86"/>
  </r>
  <r>
    <s v="CUST004"/>
    <x v="23"/>
    <x v="0"/>
    <x v="4"/>
    <x v="87"/>
    <n v="19"/>
    <n v="0"/>
    <x v="61"/>
    <x v="87"/>
  </r>
  <r>
    <s v="CUST023"/>
    <x v="3"/>
    <x v="1"/>
    <x v="4"/>
    <x v="88"/>
    <n v="11"/>
    <n v="0.15"/>
    <x v="62"/>
    <x v="88"/>
  </r>
  <r>
    <s v="CUST022"/>
    <x v="15"/>
    <x v="2"/>
    <x v="0"/>
    <x v="89"/>
    <n v="16"/>
    <n v="0.05"/>
    <x v="62"/>
    <x v="89"/>
  </r>
  <r>
    <s v="CUST007"/>
    <x v="24"/>
    <x v="0"/>
    <x v="3"/>
    <x v="90"/>
    <n v="4"/>
    <n v="0.1"/>
    <x v="63"/>
    <x v="90"/>
  </r>
  <r>
    <s v="CUST013"/>
    <x v="1"/>
    <x v="2"/>
    <x v="3"/>
    <x v="91"/>
    <n v="1"/>
    <n v="0.1"/>
    <x v="64"/>
    <x v="91"/>
  </r>
  <r>
    <s v="CUST027"/>
    <x v="9"/>
    <x v="1"/>
    <x v="4"/>
    <x v="92"/>
    <n v="13"/>
    <n v="0.15"/>
    <x v="64"/>
    <x v="92"/>
  </r>
  <r>
    <s v="CUST003"/>
    <x v="3"/>
    <x v="0"/>
    <x v="2"/>
    <x v="93"/>
    <n v="19"/>
    <n v="0.2"/>
    <x v="65"/>
    <x v="93"/>
  </r>
  <r>
    <s v="CUST018"/>
    <x v="13"/>
    <x v="2"/>
    <x v="0"/>
    <x v="94"/>
    <n v="2"/>
    <n v="0.15"/>
    <x v="66"/>
    <x v="94"/>
  </r>
  <r>
    <s v="CUST020"/>
    <x v="2"/>
    <x v="2"/>
    <x v="0"/>
    <x v="95"/>
    <n v="6"/>
    <n v="0"/>
    <x v="67"/>
    <x v="95"/>
  </r>
  <r>
    <s v="CUST029"/>
    <x v="21"/>
    <x v="0"/>
    <x v="3"/>
    <x v="96"/>
    <n v="7"/>
    <n v="0.15"/>
    <x v="68"/>
    <x v="96"/>
  </r>
  <r>
    <s v="CUST021"/>
    <x v="3"/>
    <x v="3"/>
    <x v="1"/>
    <x v="97"/>
    <n v="11"/>
    <n v="0.1"/>
    <x v="68"/>
    <x v="97"/>
  </r>
  <r>
    <s v="CUST017"/>
    <x v="23"/>
    <x v="0"/>
    <x v="4"/>
    <x v="98"/>
    <n v="10"/>
    <n v="0.2"/>
    <x v="69"/>
    <x v="98"/>
  </r>
  <r>
    <s v="CUST003"/>
    <x v="3"/>
    <x v="4"/>
    <x v="1"/>
    <x v="99"/>
    <n v="12"/>
    <n v="0"/>
    <x v="69"/>
    <x v="99"/>
  </r>
  <r>
    <s v="CUST027"/>
    <x v="9"/>
    <x v="3"/>
    <x v="0"/>
    <x v="100"/>
    <n v="17"/>
    <n v="0.1"/>
    <x v="70"/>
    <x v="100"/>
  </r>
  <r>
    <s v="CUST016"/>
    <x v="4"/>
    <x v="3"/>
    <x v="1"/>
    <x v="101"/>
    <n v="8"/>
    <n v="0.1"/>
    <x v="70"/>
    <x v="101"/>
  </r>
  <r>
    <s v="CUST008"/>
    <x v="19"/>
    <x v="4"/>
    <x v="2"/>
    <x v="102"/>
    <n v="13"/>
    <n v="0.2"/>
    <x v="71"/>
    <x v="102"/>
  </r>
  <r>
    <s v="CUST012"/>
    <x v="14"/>
    <x v="3"/>
    <x v="2"/>
    <x v="103"/>
    <n v="17"/>
    <n v="0"/>
    <x v="72"/>
    <x v="103"/>
  </r>
  <r>
    <s v="CUST025"/>
    <x v="13"/>
    <x v="1"/>
    <x v="3"/>
    <x v="104"/>
    <n v="8"/>
    <n v="0"/>
    <x v="73"/>
    <x v="104"/>
  </r>
  <r>
    <s v="CUST014"/>
    <x v="23"/>
    <x v="2"/>
    <x v="0"/>
    <x v="105"/>
    <n v="8"/>
    <n v="0.2"/>
    <x v="74"/>
    <x v="105"/>
  </r>
  <r>
    <s v="CUST008"/>
    <x v="3"/>
    <x v="1"/>
    <x v="0"/>
    <x v="106"/>
    <n v="19"/>
    <n v="0.15"/>
    <x v="74"/>
    <x v="106"/>
  </r>
  <r>
    <s v="CUST015"/>
    <x v="3"/>
    <x v="0"/>
    <x v="1"/>
    <x v="107"/>
    <n v="9"/>
    <n v="0.2"/>
    <x v="75"/>
    <x v="107"/>
  </r>
  <r>
    <s v="CUST025"/>
    <x v="24"/>
    <x v="4"/>
    <x v="1"/>
    <x v="108"/>
    <n v="14"/>
    <n v="0.1"/>
    <x v="76"/>
    <x v="108"/>
  </r>
  <r>
    <s v="CUST019"/>
    <x v="7"/>
    <x v="4"/>
    <x v="1"/>
    <x v="109"/>
    <n v="7"/>
    <n v="0.15"/>
    <x v="76"/>
    <x v="109"/>
  </r>
  <r>
    <s v="CUST024"/>
    <x v="24"/>
    <x v="1"/>
    <x v="0"/>
    <x v="110"/>
    <n v="16"/>
    <n v="0.1"/>
    <x v="77"/>
    <x v="110"/>
  </r>
  <r>
    <s v="CUST027"/>
    <x v="3"/>
    <x v="0"/>
    <x v="1"/>
    <x v="111"/>
    <n v="17"/>
    <n v="0.1"/>
    <x v="78"/>
    <x v="111"/>
  </r>
  <r>
    <s v="CUST006"/>
    <x v="26"/>
    <x v="0"/>
    <x v="3"/>
    <x v="112"/>
    <n v="1"/>
    <n v="0.15"/>
    <x v="78"/>
    <x v="112"/>
  </r>
  <r>
    <s v="CUST009"/>
    <x v="9"/>
    <x v="2"/>
    <x v="2"/>
    <x v="113"/>
    <n v="1"/>
    <n v="0"/>
    <x v="79"/>
    <x v="113"/>
  </r>
  <r>
    <s v="CUST003"/>
    <x v="25"/>
    <x v="3"/>
    <x v="1"/>
    <x v="114"/>
    <n v="1"/>
    <n v="0.2"/>
    <x v="80"/>
    <x v="114"/>
  </r>
  <r>
    <s v="CUST012"/>
    <x v="18"/>
    <x v="0"/>
    <x v="2"/>
    <x v="115"/>
    <n v="15"/>
    <n v="0"/>
    <x v="81"/>
    <x v="115"/>
  </r>
  <r>
    <s v="CUST013"/>
    <x v="5"/>
    <x v="4"/>
    <x v="0"/>
    <x v="116"/>
    <n v="4"/>
    <n v="0.05"/>
    <x v="82"/>
    <x v="116"/>
  </r>
  <r>
    <s v="CUST008"/>
    <x v="3"/>
    <x v="1"/>
    <x v="4"/>
    <x v="117"/>
    <n v="14"/>
    <n v="0.05"/>
    <x v="83"/>
    <x v="117"/>
  </r>
  <r>
    <s v="CUST025"/>
    <x v="14"/>
    <x v="1"/>
    <x v="0"/>
    <x v="118"/>
    <n v="2"/>
    <n v="0.15"/>
    <x v="84"/>
    <x v="118"/>
  </r>
  <r>
    <s v="CUST026"/>
    <x v="20"/>
    <x v="3"/>
    <x v="3"/>
    <x v="119"/>
    <n v="4"/>
    <n v="0.05"/>
    <x v="84"/>
    <x v="119"/>
  </r>
  <r>
    <s v="CUST001"/>
    <x v="12"/>
    <x v="3"/>
    <x v="3"/>
    <x v="120"/>
    <n v="3"/>
    <n v="0.05"/>
    <x v="85"/>
    <x v="120"/>
  </r>
  <r>
    <s v="CUST028"/>
    <x v="15"/>
    <x v="2"/>
    <x v="1"/>
    <x v="121"/>
    <n v="5"/>
    <n v="0"/>
    <x v="86"/>
    <x v="121"/>
  </r>
  <r>
    <s v="CUST025"/>
    <x v="12"/>
    <x v="1"/>
    <x v="4"/>
    <x v="122"/>
    <n v="10"/>
    <n v="0.1"/>
    <x v="87"/>
    <x v="122"/>
  </r>
  <r>
    <s v="CUST019"/>
    <x v="2"/>
    <x v="2"/>
    <x v="2"/>
    <x v="123"/>
    <n v="14"/>
    <n v="0"/>
    <x v="88"/>
    <x v="123"/>
  </r>
  <r>
    <s v="CUST004"/>
    <x v="2"/>
    <x v="4"/>
    <x v="1"/>
    <x v="124"/>
    <n v="18"/>
    <n v="0.2"/>
    <x v="88"/>
    <x v="124"/>
  </r>
  <r>
    <s v="CUST024"/>
    <x v="3"/>
    <x v="3"/>
    <x v="2"/>
    <x v="125"/>
    <n v="1"/>
    <n v="0.15"/>
    <x v="88"/>
    <x v="125"/>
  </r>
  <r>
    <s v="CUST002"/>
    <x v="15"/>
    <x v="1"/>
    <x v="2"/>
    <x v="126"/>
    <n v="15"/>
    <n v="0"/>
    <x v="89"/>
    <x v="126"/>
  </r>
  <r>
    <s v="CUST009"/>
    <x v="21"/>
    <x v="2"/>
    <x v="3"/>
    <x v="127"/>
    <n v="10"/>
    <n v="0"/>
    <x v="89"/>
    <x v="127"/>
  </r>
  <r>
    <s v="CUST029"/>
    <x v="12"/>
    <x v="1"/>
    <x v="2"/>
    <x v="128"/>
    <n v="4"/>
    <n v="0.15"/>
    <x v="89"/>
    <x v="128"/>
  </r>
  <r>
    <s v="CUST027"/>
    <x v="3"/>
    <x v="0"/>
    <x v="2"/>
    <x v="129"/>
    <n v="19"/>
    <n v="0"/>
    <x v="90"/>
    <x v="129"/>
  </r>
  <r>
    <s v="CUST011"/>
    <x v="21"/>
    <x v="1"/>
    <x v="0"/>
    <x v="130"/>
    <n v="5"/>
    <n v="0.05"/>
    <x v="90"/>
    <x v="130"/>
  </r>
  <r>
    <s v="CUST021"/>
    <x v="9"/>
    <x v="4"/>
    <x v="0"/>
    <x v="131"/>
    <n v="8"/>
    <n v="0.05"/>
    <x v="91"/>
    <x v="131"/>
  </r>
  <r>
    <s v="CUST014"/>
    <x v="26"/>
    <x v="2"/>
    <x v="3"/>
    <x v="132"/>
    <n v="8"/>
    <n v="0.1"/>
    <x v="91"/>
    <x v="132"/>
  </r>
  <r>
    <s v="CUST018"/>
    <x v="12"/>
    <x v="2"/>
    <x v="2"/>
    <x v="133"/>
    <n v="1"/>
    <n v="0"/>
    <x v="92"/>
    <x v="133"/>
  </r>
  <r>
    <s v="CUST001"/>
    <x v="11"/>
    <x v="0"/>
    <x v="2"/>
    <x v="134"/>
    <n v="19"/>
    <n v="0.2"/>
    <x v="93"/>
    <x v="134"/>
  </r>
  <r>
    <s v="CUST007"/>
    <x v="9"/>
    <x v="3"/>
    <x v="4"/>
    <x v="135"/>
    <n v="3"/>
    <n v="0.05"/>
    <x v="94"/>
    <x v="135"/>
  </r>
  <r>
    <s v="CUST015"/>
    <x v="26"/>
    <x v="0"/>
    <x v="3"/>
    <x v="136"/>
    <n v="4"/>
    <n v="0.2"/>
    <x v="95"/>
    <x v="136"/>
  </r>
  <r>
    <s v="CUST015"/>
    <x v="9"/>
    <x v="4"/>
    <x v="2"/>
    <x v="137"/>
    <n v="8"/>
    <n v="0.05"/>
    <x v="96"/>
    <x v="137"/>
  </r>
  <r>
    <s v="CUST002"/>
    <x v="21"/>
    <x v="2"/>
    <x v="3"/>
    <x v="138"/>
    <n v="19"/>
    <n v="0.05"/>
    <x v="97"/>
    <x v="138"/>
  </r>
  <r>
    <s v="CUST001"/>
    <x v="4"/>
    <x v="4"/>
    <x v="3"/>
    <x v="139"/>
    <n v="16"/>
    <n v="0.15"/>
    <x v="98"/>
    <x v="139"/>
  </r>
  <r>
    <s v="CUST027"/>
    <x v="5"/>
    <x v="4"/>
    <x v="2"/>
    <x v="140"/>
    <n v="10"/>
    <n v="0.15"/>
    <x v="98"/>
    <x v="140"/>
  </r>
  <r>
    <s v="CUST026"/>
    <x v="24"/>
    <x v="1"/>
    <x v="0"/>
    <x v="141"/>
    <n v="9"/>
    <n v="0"/>
    <x v="99"/>
    <x v="141"/>
  </r>
  <r>
    <s v="CUST026"/>
    <x v="11"/>
    <x v="0"/>
    <x v="2"/>
    <x v="142"/>
    <n v="19"/>
    <n v="0.2"/>
    <x v="100"/>
    <x v="142"/>
  </r>
  <r>
    <s v="CUST022"/>
    <x v="12"/>
    <x v="4"/>
    <x v="4"/>
    <x v="143"/>
    <n v="16"/>
    <n v="0.05"/>
    <x v="101"/>
    <x v="143"/>
  </r>
  <r>
    <s v="CUST004"/>
    <x v="6"/>
    <x v="3"/>
    <x v="1"/>
    <x v="144"/>
    <n v="6"/>
    <n v="0.15"/>
    <x v="102"/>
    <x v="144"/>
  </r>
  <r>
    <s v="CUST001"/>
    <x v="26"/>
    <x v="3"/>
    <x v="1"/>
    <x v="145"/>
    <n v="13"/>
    <n v="0.2"/>
    <x v="102"/>
    <x v="145"/>
  </r>
  <r>
    <s v="CUST022"/>
    <x v="3"/>
    <x v="0"/>
    <x v="0"/>
    <x v="146"/>
    <n v="14"/>
    <n v="0.1"/>
    <x v="103"/>
    <x v="146"/>
  </r>
  <r>
    <s v="CUST011"/>
    <x v="25"/>
    <x v="4"/>
    <x v="1"/>
    <x v="147"/>
    <n v="11"/>
    <n v="0.05"/>
    <x v="104"/>
    <x v="147"/>
  </r>
  <r>
    <s v="CUST028"/>
    <x v="14"/>
    <x v="3"/>
    <x v="4"/>
    <x v="148"/>
    <n v="1"/>
    <n v="0.2"/>
    <x v="104"/>
    <x v="148"/>
  </r>
  <r>
    <s v="CUST011"/>
    <x v="5"/>
    <x v="3"/>
    <x v="0"/>
    <x v="149"/>
    <n v="18"/>
    <n v="0.1"/>
    <x v="105"/>
    <x v="149"/>
  </r>
  <r>
    <s v="CUST028"/>
    <x v="3"/>
    <x v="4"/>
    <x v="4"/>
    <x v="150"/>
    <n v="10"/>
    <n v="0.1"/>
    <x v="106"/>
    <x v="150"/>
  </r>
  <r>
    <s v="CUST016"/>
    <x v="2"/>
    <x v="2"/>
    <x v="1"/>
    <x v="151"/>
    <n v="5"/>
    <n v="0.05"/>
    <x v="106"/>
    <x v="151"/>
  </r>
  <r>
    <s v="CUST010"/>
    <x v="5"/>
    <x v="0"/>
    <x v="3"/>
    <x v="152"/>
    <n v="18"/>
    <n v="0.05"/>
    <x v="107"/>
    <x v="152"/>
  </r>
  <r>
    <s v="CUST013"/>
    <x v="20"/>
    <x v="3"/>
    <x v="1"/>
    <x v="153"/>
    <n v="19"/>
    <n v="0.05"/>
    <x v="108"/>
    <x v="153"/>
  </r>
  <r>
    <s v="CUST015"/>
    <x v="1"/>
    <x v="2"/>
    <x v="3"/>
    <x v="154"/>
    <n v="11"/>
    <n v="0.1"/>
    <x v="109"/>
    <x v="154"/>
  </r>
  <r>
    <s v="CUST015"/>
    <x v="3"/>
    <x v="3"/>
    <x v="2"/>
    <x v="155"/>
    <n v="5"/>
    <n v="0.2"/>
    <x v="110"/>
    <x v="155"/>
  </r>
  <r>
    <s v="CUST015"/>
    <x v="8"/>
    <x v="0"/>
    <x v="1"/>
    <x v="156"/>
    <n v="9"/>
    <n v="0.05"/>
    <x v="111"/>
    <x v="156"/>
  </r>
  <r>
    <s v="CUST008"/>
    <x v="12"/>
    <x v="4"/>
    <x v="1"/>
    <x v="157"/>
    <n v="2"/>
    <n v="0.1"/>
    <x v="112"/>
    <x v="157"/>
  </r>
  <r>
    <s v="CUST008"/>
    <x v="6"/>
    <x v="4"/>
    <x v="4"/>
    <x v="158"/>
    <n v="7"/>
    <n v="0"/>
    <x v="112"/>
    <x v="158"/>
  </r>
  <r>
    <s v="CUST023"/>
    <x v="2"/>
    <x v="2"/>
    <x v="1"/>
    <x v="159"/>
    <n v="6"/>
    <n v="0.2"/>
    <x v="112"/>
    <x v="159"/>
  </r>
  <r>
    <s v="CUST024"/>
    <x v="17"/>
    <x v="3"/>
    <x v="1"/>
    <x v="160"/>
    <n v="12"/>
    <n v="0.2"/>
    <x v="113"/>
    <x v="160"/>
  </r>
  <r>
    <s v="CUST018"/>
    <x v="14"/>
    <x v="3"/>
    <x v="0"/>
    <x v="161"/>
    <n v="11"/>
    <n v="0.2"/>
    <x v="114"/>
    <x v="161"/>
  </r>
  <r>
    <s v="CUST030"/>
    <x v="11"/>
    <x v="0"/>
    <x v="1"/>
    <x v="162"/>
    <n v="17"/>
    <n v="0.1"/>
    <x v="115"/>
    <x v="162"/>
  </r>
  <r>
    <s v="CUST030"/>
    <x v="6"/>
    <x v="1"/>
    <x v="1"/>
    <x v="163"/>
    <n v="5"/>
    <n v="0.2"/>
    <x v="116"/>
    <x v="163"/>
  </r>
  <r>
    <s v="CUST015"/>
    <x v="12"/>
    <x v="1"/>
    <x v="0"/>
    <x v="164"/>
    <n v="9"/>
    <n v="0.1"/>
    <x v="117"/>
    <x v="164"/>
  </r>
  <r>
    <s v="CUST002"/>
    <x v="14"/>
    <x v="0"/>
    <x v="4"/>
    <x v="165"/>
    <n v="7"/>
    <n v="0.1"/>
    <x v="118"/>
    <x v="165"/>
  </r>
  <r>
    <s v="CUST024"/>
    <x v="5"/>
    <x v="4"/>
    <x v="1"/>
    <x v="166"/>
    <n v="16"/>
    <n v="0.1"/>
    <x v="119"/>
    <x v="166"/>
  </r>
  <r>
    <s v="CUST004"/>
    <x v="0"/>
    <x v="1"/>
    <x v="4"/>
    <x v="167"/>
    <n v="6"/>
    <n v="0.1"/>
    <x v="120"/>
    <x v="167"/>
  </r>
  <r>
    <s v="CUST004"/>
    <x v="6"/>
    <x v="2"/>
    <x v="4"/>
    <x v="168"/>
    <n v="19"/>
    <n v="0.1"/>
    <x v="121"/>
    <x v="168"/>
  </r>
  <r>
    <s v="CUST028"/>
    <x v="3"/>
    <x v="0"/>
    <x v="2"/>
    <x v="169"/>
    <n v="14"/>
    <n v="0.2"/>
    <x v="122"/>
    <x v="169"/>
  </r>
  <r>
    <s v="CUST012"/>
    <x v="12"/>
    <x v="3"/>
    <x v="1"/>
    <x v="170"/>
    <n v="4"/>
    <n v="0"/>
    <x v="123"/>
    <x v="170"/>
  </r>
  <r>
    <s v="CUST026"/>
    <x v="18"/>
    <x v="0"/>
    <x v="2"/>
    <x v="171"/>
    <n v="3"/>
    <n v="0"/>
    <x v="124"/>
    <x v="171"/>
  </r>
  <r>
    <s v="CUST009"/>
    <x v="6"/>
    <x v="3"/>
    <x v="0"/>
    <x v="172"/>
    <n v="2"/>
    <n v="0.2"/>
    <x v="125"/>
    <x v="172"/>
  </r>
  <r>
    <s v="CUST003"/>
    <x v="11"/>
    <x v="2"/>
    <x v="0"/>
    <x v="173"/>
    <n v="15"/>
    <n v="0.2"/>
    <x v="126"/>
    <x v="173"/>
  </r>
  <r>
    <s v="CUST002"/>
    <x v="13"/>
    <x v="4"/>
    <x v="4"/>
    <x v="174"/>
    <n v="12"/>
    <n v="0.2"/>
    <x v="126"/>
    <x v="174"/>
  </r>
  <r>
    <s v="CUST013"/>
    <x v="17"/>
    <x v="4"/>
    <x v="0"/>
    <x v="175"/>
    <n v="2"/>
    <n v="0.15"/>
    <x v="127"/>
    <x v="175"/>
  </r>
  <r>
    <s v="CUST018"/>
    <x v="6"/>
    <x v="4"/>
    <x v="1"/>
    <x v="176"/>
    <n v="18"/>
    <n v="0.2"/>
    <x v="128"/>
    <x v="176"/>
  </r>
  <r>
    <s v="CUST017"/>
    <x v="6"/>
    <x v="4"/>
    <x v="1"/>
    <x v="177"/>
    <n v="8"/>
    <n v="0.1"/>
    <x v="129"/>
    <x v="177"/>
  </r>
  <r>
    <s v="CUST004"/>
    <x v="5"/>
    <x v="1"/>
    <x v="0"/>
    <x v="178"/>
    <n v="6"/>
    <n v="0"/>
    <x v="130"/>
    <x v="178"/>
  </r>
  <r>
    <s v="CUST028"/>
    <x v="23"/>
    <x v="3"/>
    <x v="0"/>
    <x v="179"/>
    <n v="8"/>
    <n v="0.1"/>
    <x v="131"/>
    <x v="179"/>
  </r>
  <r>
    <s v="CUST028"/>
    <x v="20"/>
    <x v="3"/>
    <x v="0"/>
    <x v="180"/>
    <n v="15"/>
    <n v="0.2"/>
    <x v="132"/>
    <x v="180"/>
  </r>
  <r>
    <s v="CUST014"/>
    <x v="9"/>
    <x v="2"/>
    <x v="0"/>
    <x v="181"/>
    <n v="18"/>
    <n v="0.05"/>
    <x v="133"/>
    <x v="181"/>
  </r>
  <r>
    <s v="CUST003"/>
    <x v="9"/>
    <x v="1"/>
    <x v="4"/>
    <x v="182"/>
    <n v="18"/>
    <n v="0.05"/>
    <x v="134"/>
    <x v="182"/>
  </r>
  <r>
    <s v="CUST029"/>
    <x v="18"/>
    <x v="0"/>
    <x v="1"/>
    <x v="183"/>
    <n v="2"/>
    <n v="0.05"/>
    <x v="135"/>
    <x v="183"/>
  </r>
  <r>
    <s v="CUST021"/>
    <x v="18"/>
    <x v="0"/>
    <x v="3"/>
    <x v="184"/>
    <n v="14"/>
    <n v="0.2"/>
    <x v="136"/>
    <x v="184"/>
  </r>
  <r>
    <s v="CUST007"/>
    <x v="18"/>
    <x v="0"/>
    <x v="1"/>
    <x v="185"/>
    <n v="18"/>
    <n v="0"/>
    <x v="137"/>
    <x v="185"/>
  </r>
  <r>
    <s v="CUST009"/>
    <x v="17"/>
    <x v="2"/>
    <x v="1"/>
    <x v="186"/>
    <n v="9"/>
    <n v="0.1"/>
    <x v="138"/>
    <x v="186"/>
  </r>
  <r>
    <s v="CUST023"/>
    <x v="20"/>
    <x v="2"/>
    <x v="1"/>
    <x v="187"/>
    <n v="1"/>
    <n v="0"/>
    <x v="139"/>
    <x v="187"/>
  </r>
  <r>
    <s v="CUST029"/>
    <x v="4"/>
    <x v="3"/>
    <x v="2"/>
    <x v="188"/>
    <n v="15"/>
    <n v="0.2"/>
    <x v="140"/>
    <x v="188"/>
  </r>
  <r>
    <s v="CUST009"/>
    <x v="4"/>
    <x v="2"/>
    <x v="3"/>
    <x v="189"/>
    <n v="11"/>
    <n v="0.2"/>
    <x v="141"/>
    <x v="189"/>
  </r>
  <r>
    <s v="CUST007"/>
    <x v="0"/>
    <x v="2"/>
    <x v="1"/>
    <x v="190"/>
    <n v="9"/>
    <n v="0"/>
    <x v="142"/>
    <x v="190"/>
  </r>
  <r>
    <s v="CUST030"/>
    <x v="17"/>
    <x v="3"/>
    <x v="0"/>
    <x v="191"/>
    <n v="10"/>
    <n v="0.15"/>
    <x v="142"/>
    <x v="191"/>
  </r>
  <r>
    <s v="CUST018"/>
    <x v="26"/>
    <x v="4"/>
    <x v="1"/>
    <x v="192"/>
    <n v="14"/>
    <n v="0.05"/>
    <x v="143"/>
    <x v="192"/>
  </r>
  <r>
    <s v="CUST008"/>
    <x v="21"/>
    <x v="1"/>
    <x v="3"/>
    <x v="193"/>
    <n v="17"/>
    <n v="0.1"/>
    <x v="143"/>
    <x v="193"/>
  </r>
  <r>
    <s v="CUST014"/>
    <x v="11"/>
    <x v="0"/>
    <x v="1"/>
    <x v="194"/>
    <n v="8"/>
    <n v="0.15"/>
    <x v="144"/>
    <x v="194"/>
  </r>
  <r>
    <s v="CUST024"/>
    <x v="8"/>
    <x v="4"/>
    <x v="1"/>
    <x v="195"/>
    <n v="8"/>
    <n v="0.2"/>
    <x v="144"/>
    <x v="195"/>
  </r>
  <r>
    <s v="CUST028"/>
    <x v="1"/>
    <x v="2"/>
    <x v="4"/>
    <x v="196"/>
    <n v="3"/>
    <n v="0"/>
    <x v="145"/>
    <x v="196"/>
  </r>
  <r>
    <s v="CUST015"/>
    <x v="11"/>
    <x v="0"/>
    <x v="4"/>
    <x v="197"/>
    <n v="17"/>
    <n v="0"/>
    <x v="146"/>
    <x v="197"/>
  </r>
  <r>
    <s v="CUST010"/>
    <x v="8"/>
    <x v="1"/>
    <x v="0"/>
    <x v="198"/>
    <n v="8"/>
    <n v="0.05"/>
    <x v="146"/>
    <x v="198"/>
  </r>
  <r>
    <s v="CUST016"/>
    <x v="8"/>
    <x v="2"/>
    <x v="1"/>
    <x v="199"/>
    <n v="2"/>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D69DC9-AED8-4B2F-AF8B-9310187CBA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
    </i>
    <i>
      <x v="5"/>
    </i>
    <i>
      <x v="7"/>
    </i>
    <i>
      <x v="10"/>
    </i>
    <i>
      <x v="17"/>
    </i>
    <i>
      <x v="18"/>
    </i>
    <i>
      <x v="19"/>
    </i>
    <i>
      <x v="20"/>
    </i>
    <i>
      <x v="23"/>
    </i>
    <i>
      <x v="24"/>
    </i>
    <i t="grand">
      <x/>
    </i>
  </rowItems>
  <colItems count="1">
    <i/>
  </colItems>
  <dataFields count="1">
    <dataField name="Sum of Sales" fld="4" baseField="0" baseItem="0"/>
  </dataFields>
  <formats count="10">
    <format dxfId="19">
      <pivotArea field="1" type="button" dataOnly="0" labelOnly="1" outline="0" axis="axisRow" fieldPosition="0"/>
    </format>
    <format dxfId="18">
      <pivotArea dataOnly="0" labelOnly="1" outline="0" axis="axisValues" fieldPosition="0"/>
    </format>
    <format dxfId="17">
      <pivotArea dataOnly="0" labelOnly="1" grandRow="1" outline="0" fieldPosition="0"/>
    </format>
    <format dxfId="16">
      <pivotArea grandRow="1" outline="0" collapsedLevelsAreSubtotals="1" fieldPosition="0"/>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10">
            <x v="1"/>
            <x v="5"/>
            <x v="7"/>
            <x v="10"/>
            <x v="17"/>
            <x v="18"/>
            <x v="19"/>
            <x v="20"/>
            <x v="23"/>
            <x v="24"/>
          </reference>
        </references>
      </pivotArea>
    </format>
    <format dxfId="11">
      <pivotArea dataOnly="0" labelOnly="1" grandRow="1" outline="0" fieldPosition="0"/>
    </format>
    <format dxfId="1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10">
              <x v="1"/>
              <x v="5"/>
              <x v="7"/>
              <x v="10"/>
              <x v="17"/>
              <x v="18"/>
              <x v="19"/>
              <x v="20"/>
              <x v="23"/>
              <x v="24"/>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BCE6B-C734-4AB0-8964-484E4A75D1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Items count="1">
    <i/>
  </colItems>
  <dataFields count="1">
    <dataField name="Sum of Sales" fld="4" baseField="0" baseItem="0"/>
  </dataFields>
  <formats count="10">
    <format dxfId="9">
      <pivotArea field="9" type="button" dataOnly="0" labelOnly="1" outline="0" axis="axisRow" fieldPosition="0"/>
    </format>
    <format dxfId="8">
      <pivotArea dataOnly="0" labelOnly="1" outline="0" axis="axisValues" fieldPosition="0"/>
    </format>
    <format dxfId="7">
      <pivotArea dataOnly="0" labelOnly="1" grandRow="1" outline="0" fieldPosition="0"/>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fieldPosition="0">
        <references count="1">
          <reference field="9"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conditionalFormats count="1">
    <conditionalFormat priority="1">
      <pivotAreas count="12">
        <pivotArea type="data" collapsedLevelsAreSubtotals="1" fieldPosition="0">
          <references count="2">
            <reference field="4294967294" count="1" selected="0">
              <x v="0"/>
            </reference>
            <reference field="9" count="1">
              <x v="1"/>
            </reference>
          </references>
        </pivotArea>
        <pivotArea type="data" collapsedLevelsAreSubtotals="1" fieldPosition="0">
          <references count="2">
            <reference field="4294967294" count="1" selected="0">
              <x v="0"/>
            </reference>
            <reference field="9" count="1">
              <x v="2"/>
            </reference>
          </references>
        </pivotArea>
        <pivotArea type="data" collapsedLevelsAreSubtotals="1" fieldPosition="0">
          <references count="2">
            <reference field="4294967294" count="1" selected="0">
              <x v="0"/>
            </reference>
            <reference field="9" count="1">
              <x v="3"/>
            </reference>
          </references>
        </pivotArea>
        <pivotArea type="data" collapsedLevelsAreSubtotals="1" fieldPosition="0">
          <references count="2">
            <reference field="4294967294" count="1" selected="0">
              <x v="0"/>
            </reference>
            <reference field="9" count="1">
              <x v="4"/>
            </reference>
          </references>
        </pivotArea>
        <pivotArea type="data" collapsedLevelsAreSubtotals="1" fieldPosition="0">
          <references count="2">
            <reference field="4294967294" count="1" selected="0">
              <x v="0"/>
            </reference>
            <reference field="9" count="1">
              <x v="5"/>
            </reference>
          </references>
        </pivotArea>
        <pivotArea type="data" collapsedLevelsAreSubtotals="1" fieldPosition="0">
          <references count="2">
            <reference field="4294967294" count="1" selected="0">
              <x v="0"/>
            </reference>
            <reference field="9" count="1">
              <x v="6"/>
            </reference>
          </references>
        </pivotArea>
        <pivotArea type="data" collapsedLevelsAreSubtotals="1" fieldPosition="0">
          <references count="2">
            <reference field="4294967294" count="1" selected="0">
              <x v="0"/>
            </reference>
            <reference field="9" count="1">
              <x v="7"/>
            </reference>
          </references>
        </pivotArea>
        <pivotArea type="data" collapsedLevelsAreSubtotals="1" fieldPosition="0">
          <references count="2">
            <reference field="4294967294" count="1" selected="0">
              <x v="0"/>
            </reference>
            <reference field="9" count="1">
              <x v="8"/>
            </reference>
          </references>
        </pivotArea>
        <pivotArea type="data" collapsedLevelsAreSubtotals="1" fieldPosition="0">
          <references count="2">
            <reference field="4294967294" count="1" selected="0">
              <x v="0"/>
            </reference>
            <reference field="9" count="1">
              <x v="9"/>
            </reference>
          </references>
        </pivotArea>
        <pivotArea type="data" collapsedLevelsAreSubtotals="1" fieldPosition="0">
          <references count="2">
            <reference field="4294967294" count="1" selected="0">
              <x v="0"/>
            </reference>
            <reference field="9" count="1">
              <x v="10"/>
            </reference>
          </references>
        </pivotArea>
        <pivotArea type="data" collapsedLevelsAreSubtotals="1" fieldPosition="0">
          <references count="2">
            <reference field="4294967294" count="1" selected="0">
              <x v="0"/>
            </reference>
            <reference field="9" count="1">
              <x v="11"/>
            </reference>
          </references>
        </pivotArea>
        <pivotArea type="data" collapsedLevelsAreSubtotals="1" fieldPosition="0">
          <references count="2">
            <reference field="4294967294" count="1" selected="0">
              <x v="0"/>
            </reference>
            <reference field="9"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54EEE-6C60-453E-A274-834F3DC64C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3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7" format="20" series="1">
      <pivotArea type="data" outline="0" fieldPosition="0">
        <references count="2">
          <reference field="4294967294" count="1" selected="0">
            <x v="0"/>
          </reference>
          <reference field="3" count="1" selected="0">
            <x v="0"/>
          </reference>
        </references>
      </pivotArea>
    </chartFormat>
    <chartFormat chart="17" format="21" series="1">
      <pivotArea type="data" outline="0" fieldPosition="0">
        <references count="2">
          <reference field="4294967294" count="1" selected="0">
            <x v="0"/>
          </reference>
          <reference field="3" count="1" selected="0">
            <x v="1"/>
          </reference>
        </references>
      </pivotArea>
    </chartFormat>
    <chartFormat chart="17" format="22" series="1">
      <pivotArea type="data" outline="0" fieldPosition="0">
        <references count="2">
          <reference field="4294967294" count="1" selected="0">
            <x v="0"/>
          </reference>
          <reference field="3" count="1" selected="0">
            <x v="2"/>
          </reference>
        </references>
      </pivotArea>
    </chartFormat>
    <chartFormat chart="17" format="23" series="1">
      <pivotArea type="data" outline="0" fieldPosition="0">
        <references count="2">
          <reference field="4294967294" count="1" selected="0">
            <x v="0"/>
          </reference>
          <reference field="3" count="1" selected="0">
            <x v="3"/>
          </reference>
        </references>
      </pivotArea>
    </chartFormat>
    <chartFormat chart="17" format="24" series="1">
      <pivotArea type="data" outline="0" fieldPosition="0">
        <references count="2">
          <reference field="4294967294" count="1" selected="0">
            <x v="0"/>
          </reference>
          <reference field="3" count="1" selected="0">
            <x v="4"/>
          </reference>
        </references>
      </pivotArea>
    </chartFormat>
    <chartFormat chart="19" format="25" series="1">
      <pivotArea type="data" outline="0" fieldPosition="0">
        <references count="2">
          <reference field="4294967294" count="1" selected="0">
            <x v="0"/>
          </reference>
          <reference field="3" count="1" selected="0">
            <x v="0"/>
          </reference>
        </references>
      </pivotArea>
    </chartFormat>
    <chartFormat chart="19" format="26" series="1">
      <pivotArea type="data" outline="0" fieldPosition="0">
        <references count="2">
          <reference field="4294967294" count="1" selected="0">
            <x v="0"/>
          </reference>
          <reference field="3" count="1" selected="0">
            <x v="1"/>
          </reference>
        </references>
      </pivotArea>
    </chartFormat>
    <chartFormat chart="19" format="27" series="1">
      <pivotArea type="data" outline="0" fieldPosition="0">
        <references count="2">
          <reference field="4294967294" count="1" selected="0">
            <x v="0"/>
          </reference>
          <reference field="3" count="1" selected="0">
            <x v="2"/>
          </reference>
        </references>
      </pivotArea>
    </chartFormat>
    <chartFormat chart="19" format="28" series="1">
      <pivotArea type="data" outline="0" fieldPosition="0">
        <references count="2">
          <reference field="4294967294" count="1" selected="0">
            <x v="0"/>
          </reference>
          <reference field="3" count="1" selected="0">
            <x v="3"/>
          </reference>
        </references>
      </pivotArea>
    </chartFormat>
    <chartFormat chart="19" format="29" series="1">
      <pivotArea type="data" outline="0" fieldPosition="0">
        <references count="2">
          <reference field="4294967294" count="1" selected="0">
            <x v="0"/>
          </reference>
          <reference field="3" count="1" selected="0">
            <x v="4"/>
          </reference>
        </references>
      </pivotArea>
    </chartFormat>
    <chartFormat chart="20" format="30" series="1">
      <pivotArea type="data" outline="0" fieldPosition="0">
        <references count="2">
          <reference field="4294967294" count="1" selected="0">
            <x v="0"/>
          </reference>
          <reference field="3" count="1" selected="0">
            <x v="0"/>
          </reference>
        </references>
      </pivotArea>
    </chartFormat>
    <chartFormat chart="20" format="31" series="1">
      <pivotArea type="data" outline="0" fieldPosition="0">
        <references count="2">
          <reference field="4294967294" count="1" selected="0">
            <x v="0"/>
          </reference>
          <reference field="3" count="1" selected="0">
            <x v="1"/>
          </reference>
        </references>
      </pivotArea>
    </chartFormat>
    <chartFormat chart="20" format="32" series="1">
      <pivotArea type="data" outline="0" fieldPosition="0">
        <references count="2">
          <reference field="4294967294" count="1" selected="0">
            <x v="0"/>
          </reference>
          <reference field="3" count="1" selected="0">
            <x v="2"/>
          </reference>
        </references>
      </pivotArea>
    </chartFormat>
    <chartFormat chart="20" format="33" series="1">
      <pivotArea type="data" outline="0" fieldPosition="0">
        <references count="2">
          <reference field="4294967294" count="1" selected="0">
            <x v="0"/>
          </reference>
          <reference field="3" count="1" selected="0">
            <x v="3"/>
          </reference>
        </references>
      </pivotArea>
    </chartFormat>
    <chartFormat chart="20" format="3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FBEA92-AA9F-456F-8853-33AA72D0319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3" count="1" selected="0">
            <x v="0"/>
          </reference>
        </references>
      </pivotArea>
    </chartFormat>
    <chartFormat chart="14" format="14">
      <pivotArea type="data" outline="0" fieldPosition="0">
        <references count="2">
          <reference field="4294967294" count="1" selected="0">
            <x v="0"/>
          </reference>
          <reference field="3" count="1" selected="0">
            <x v="1"/>
          </reference>
        </references>
      </pivotArea>
    </chartFormat>
    <chartFormat chart="14" format="15">
      <pivotArea type="data" outline="0" fieldPosition="0">
        <references count="2">
          <reference field="4294967294" count="1" selected="0">
            <x v="0"/>
          </reference>
          <reference field="3" count="1" selected="0">
            <x v="2"/>
          </reference>
        </references>
      </pivotArea>
    </chartFormat>
    <chartFormat chart="14" format="16">
      <pivotArea type="data" outline="0" fieldPosition="0">
        <references count="2">
          <reference field="4294967294" count="1" selected="0">
            <x v="0"/>
          </reference>
          <reference field="3" count="1" selected="0">
            <x v="3"/>
          </reference>
        </references>
      </pivotArea>
    </chartFormat>
    <chartFormat chart="14"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5D18DB-F7FD-4D22-A8D9-24B577D43D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3" firstHeaderRow="0"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h="1" sd="0" x="0"/>
        <item sd="0" x="1"/>
        <item h="1" sd="0" x="2"/>
        <item h="1" sd="0" x="3"/>
      </items>
    </pivotField>
  </pivotFields>
  <rowFields count="2">
    <field x="9"/>
    <field x="7"/>
  </rowFields>
  <rowItems count="10">
    <i>
      <x v="4"/>
    </i>
    <i>
      <x v="5"/>
    </i>
    <i>
      <x v="6"/>
    </i>
    <i>
      <x v="7"/>
    </i>
    <i>
      <x v="8"/>
    </i>
    <i>
      <x v="9"/>
    </i>
    <i>
      <x v="10"/>
    </i>
    <i>
      <x v="11"/>
    </i>
    <i>
      <x v="12"/>
    </i>
    <i t="grand">
      <x/>
    </i>
  </rowItems>
  <colFields count="1">
    <field x="-2"/>
  </colFields>
  <colItems count="2">
    <i>
      <x/>
    </i>
    <i i="1">
      <x v="1"/>
    </i>
  </colItems>
  <dataFields count="2">
    <dataField name="Sum of Sales" fld="4"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000586-72F2-4384-9A17-CDEE867D31DC}" sourceName="Product_Category">
  <pivotTables>
    <pivotTable tabId="18" name="PivotTable12"/>
  </pivotTables>
  <data>
    <tabular pivotCacheId="188740205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CEB974-E49E-421E-8556-055F36D028C6}" sourceName="Region">
  <pivotTables>
    <pivotTable tabId="17" name="PivotTable11"/>
  </pivotTables>
  <data>
    <tabular pivotCacheId="1887402058">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865F815-3F2B-41F8-8C23-FF3D391F0EA3}" sourceName="Product_Category">
  <pivotTables>
    <pivotTable tabId="17" name="PivotTable11"/>
  </pivotTables>
  <data>
    <tabular pivotCacheId="1887402058">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49B2ED0-427E-43FB-BEC8-5C389B4999D3}" sourceName="Months (Order_Date)">
  <pivotTables>
    <pivotTable tabId="19" name="PivotTable13"/>
  </pivotTables>
  <data>
    <tabular pivotCacheId="1887402058">
      <items count="14">
        <i x="4" s="1"/>
        <i x="5" s="1"/>
        <i x="6" s="1"/>
        <i x="7" s="1"/>
        <i x="8" s="1"/>
        <i x="9" s="1"/>
        <i x="10" s="1"/>
        <i x="11" s="1"/>
        <i x="12" s="1"/>
        <i x="1" s="1" nd="1"/>
        <i x="2" s="1" nd="1"/>
        <i x="3"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3819EB9-3B56-439E-ADB7-C2B9A82E8875}" sourceName="Years (Order_Date)">
  <pivotTables>
    <pivotTable tabId="19" name="PivotTable13"/>
  </pivotTables>
  <data>
    <tabular pivotCacheId="1887402058">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A899DC6-DD31-4296-A894-06B430C00436}" cache="Slicer_Region" caption="Region" style="SlicerStyleLight6" rowHeight="234950"/>
  <slicer name="Product_Category 2" xr10:uid="{5968F773-FDE4-4620-93AB-0B8A1F545A88}" cache="Slicer_Product_Category1" caption="Product_Category" style="SlicerStyleLight6" rowHeight="234950"/>
  <slicer name="Months (Order_Date) 1" xr10:uid="{8E6BC29C-B0B8-4C78-8E96-D15B40EE94B5}" cache="Slicer_Months__Order_Date" caption="Months (Order_Date)" columnCount="3" style="SlicerStyleLight6" rowHeight="234950"/>
  <slicer name="Years (Order_Date) 1" xr10:uid="{6F21975A-670B-4B31-8EF8-18E15EC0FBEF}" cache="Slicer_Years__Order_Date" caption="Years (Order_Date)"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7651E1-5041-4918-BCAA-2D9B9CC2177F}" cache="Slicer_Region" caption="Region" style="SlicerStyleLight6" rowHeight="234950"/>
  <slicer name="Product_Category 1" xr10:uid="{BDA925C4-7462-455B-A8D0-3152A0FD570E}" cache="Slicer_Product_Category1" caption="Product_Category"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26876F2-3420-4657-B444-A7D1312DFC0E}" cache="Slicer_Product_Category" caption="Product_Category"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DDA6B3E6-263C-4A67-96E8-D89C12745B4D}" cache="Slicer_Months__Order_Date" caption="Months (Order_Date)" columnCount="3" style="SlicerStyleLight6" rowHeight="234950"/>
  <slicer name="Years (Order_Date)" xr10:uid="{EB3AF797-4D88-4DF2-8F8C-A9C62603182E}" cache="Slicer_Years__Order_Date" caption="Years (Order_Date)" style="SlicerStyleLight6"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35" t="s">
        <v>0</v>
      </c>
      <c r="B1" s="1"/>
      <c r="C1" s="1"/>
      <c r="D1" s="1"/>
      <c r="E1" s="1"/>
      <c r="F1" s="1"/>
      <c r="G1" s="1"/>
      <c r="H1" s="1"/>
      <c r="I1" s="1"/>
      <c r="J1" s="1"/>
      <c r="K1" s="1"/>
      <c r="L1" s="1"/>
      <c r="M1" s="1"/>
      <c r="N1" s="1"/>
      <c r="O1" s="1"/>
      <c r="P1" s="1"/>
      <c r="Q1" s="1"/>
      <c r="R1" s="1"/>
      <c r="S1" s="1"/>
      <c r="T1" s="1"/>
      <c r="U1" s="1"/>
      <c r="V1" s="1"/>
      <c r="W1" s="1"/>
      <c r="X1" s="1"/>
      <c r="Y1" s="1"/>
      <c r="Z1" s="1"/>
    </row>
    <row r="2" spans="1:26" ht="409.6" x14ac:dyDescent="0.3">
      <c r="A2" s="36" t="s">
        <v>119</v>
      </c>
      <c r="B2" s="1"/>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3C78-2163-4DB2-A54B-1A5D25011C68}">
  <dimension ref="A1:B16"/>
  <sheetViews>
    <sheetView workbookViewId="0">
      <selection activeCell="C6" sqref="C6"/>
    </sheetView>
  </sheetViews>
  <sheetFormatPr defaultRowHeight="14.4" x14ac:dyDescent="0.3"/>
  <cols>
    <col min="1" max="1" width="24.44140625" customWidth="1"/>
  </cols>
  <sheetData>
    <row r="1" spans="1:2" x14ac:dyDescent="0.3">
      <c r="A1" s="8" t="s">
        <v>9</v>
      </c>
      <c r="B1" s="8"/>
    </row>
    <row r="3" spans="1:2" x14ac:dyDescent="0.3">
      <c r="A3" s="17" t="s">
        <v>106</v>
      </c>
      <c r="B3" s="61">
        <v>341.43505000000005</v>
      </c>
    </row>
    <row r="4" spans="1:2" x14ac:dyDescent="0.3">
      <c r="A4" s="17" t="s">
        <v>85</v>
      </c>
      <c r="B4" s="62">
        <v>9.6001196472332531</v>
      </c>
    </row>
    <row r="5" spans="1:2" x14ac:dyDescent="0.3">
      <c r="A5" s="17" t="s">
        <v>107</v>
      </c>
      <c r="B5" s="62">
        <v>332.255</v>
      </c>
    </row>
    <row r="6" spans="1:2" x14ac:dyDescent="0.3">
      <c r="A6" s="17" t="s">
        <v>108</v>
      </c>
      <c r="B6" s="62" t="e">
        <v>#N/A</v>
      </c>
    </row>
    <row r="7" spans="1:2" x14ac:dyDescent="0.3">
      <c r="A7" s="17" t="s">
        <v>109</v>
      </c>
      <c r="B7" s="62">
        <v>135.7661940552168</v>
      </c>
    </row>
    <row r="8" spans="1:2" x14ac:dyDescent="0.3">
      <c r="A8" s="17" t="s">
        <v>110</v>
      </c>
      <c r="B8" s="62">
        <v>18432.459448238787</v>
      </c>
    </row>
    <row r="9" spans="1:2" x14ac:dyDescent="0.3">
      <c r="A9" s="17" t="s">
        <v>111</v>
      </c>
      <c r="B9" s="62">
        <v>0.26450643813582442</v>
      </c>
    </row>
    <row r="10" spans="1:2" x14ac:dyDescent="0.3">
      <c r="A10" s="17" t="s">
        <v>112</v>
      </c>
      <c r="B10" s="62">
        <v>0.57339636063424715</v>
      </c>
    </row>
    <row r="11" spans="1:2" x14ac:dyDescent="0.3">
      <c r="A11" s="17" t="s">
        <v>113</v>
      </c>
      <c r="B11" s="62">
        <v>704.83</v>
      </c>
    </row>
    <row r="12" spans="1:2" x14ac:dyDescent="0.3">
      <c r="A12" s="17" t="s">
        <v>114</v>
      </c>
      <c r="B12" s="62">
        <v>64.63</v>
      </c>
    </row>
    <row r="13" spans="1:2" x14ac:dyDescent="0.3">
      <c r="A13" s="17" t="s">
        <v>115</v>
      </c>
      <c r="B13" s="62">
        <v>769.46</v>
      </c>
    </row>
    <row r="14" spans="1:2" x14ac:dyDescent="0.3">
      <c r="A14" s="17" t="s">
        <v>116</v>
      </c>
      <c r="B14" s="62">
        <v>68287.010000000009</v>
      </c>
    </row>
    <row r="15" spans="1:2" x14ac:dyDescent="0.3">
      <c r="A15" s="17" t="s">
        <v>117</v>
      </c>
      <c r="B15" s="62">
        <v>200</v>
      </c>
    </row>
    <row r="16" spans="1:2" x14ac:dyDescent="0.3">
      <c r="A16" s="17" t="s">
        <v>118</v>
      </c>
      <c r="B16" s="63">
        <v>18.931018763961465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B441-30E9-469A-86C7-85BCC0C2BD04}">
  <sheetPr>
    <outlinePr summaryBelow="0"/>
  </sheetPr>
  <dimension ref="B1:G15"/>
  <sheetViews>
    <sheetView showGridLines="0" workbookViewId="0"/>
  </sheetViews>
  <sheetFormatPr defaultRowHeight="14.4" outlineLevelRow="1" outlineLevelCol="1" x14ac:dyDescent="0.3"/>
  <cols>
    <col min="3" max="3" width="5.88671875" bestFit="1" customWidth="1"/>
    <col min="4" max="7" width="18.88671875" bestFit="1" customWidth="1" outlineLevel="1"/>
  </cols>
  <sheetData>
    <row r="1" spans="2:7" ht="15" thickBot="1" x14ac:dyDescent="0.35"/>
    <row r="2" spans="2:7" ht="15.6" x14ac:dyDescent="0.3">
      <c r="B2" s="11" t="s">
        <v>131</v>
      </c>
      <c r="C2" s="11"/>
      <c r="D2" s="13"/>
      <c r="E2" s="13"/>
      <c r="F2" s="13"/>
      <c r="G2" s="13"/>
    </row>
    <row r="3" spans="2:7" ht="15.6" collapsed="1" x14ac:dyDescent="0.3">
      <c r="B3" s="10"/>
      <c r="C3" s="10"/>
      <c r="D3" s="14" t="s">
        <v>133</v>
      </c>
      <c r="E3" s="14" t="s">
        <v>127</v>
      </c>
      <c r="F3" s="14" t="s">
        <v>129</v>
      </c>
      <c r="G3" s="14" t="s">
        <v>130</v>
      </c>
    </row>
    <row r="4" spans="2:7" ht="20.399999999999999" hidden="1" outlineLevel="1" x14ac:dyDescent="0.3">
      <c r="B4" s="31"/>
      <c r="C4" s="31"/>
      <c r="E4" s="34" t="s">
        <v>128</v>
      </c>
      <c r="F4" s="34" t="s">
        <v>128</v>
      </c>
      <c r="G4" s="34" t="s">
        <v>128</v>
      </c>
    </row>
    <row r="5" spans="2:7" x14ac:dyDescent="0.3">
      <c r="B5" s="12" t="s">
        <v>132</v>
      </c>
      <c r="C5" s="12"/>
      <c r="D5" s="30"/>
      <c r="E5" s="30"/>
      <c r="F5" s="30"/>
      <c r="G5" s="30"/>
    </row>
    <row r="6" spans="2:7" outlineLevel="1" x14ac:dyDescent="0.3">
      <c r="B6" s="31"/>
      <c r="C6" s="31" t="s">
        <v>122</v>
      </c>
      <c r="D6">
        <v>0.2</v>
      </c>
      <c r="E6" s="33">
        <v>0.1</v>
      </c>
      <c r="F6" s="33">
        <v>0.3</v>
      </c>
      <c r="G6" s="33">
        <v>0.2</v>
      </c>
    </row>
    <row r="7" spans="2:7" outlineLevel="1" x14ac:dyDescent="0.3">
      <c r="B7" s="31"/>
      <c r="C7" s="31" t="s">
        <v>123</v>
      </c>
      <c r="D7">
        <v>0.2</v>
      </c>
      <c r="E7" s="33">
        <v>0.1</v>
      </c>
      <c r="F7" s="33">
        <v>0.3</v>
      </c>
      <c r="G7" s="33">
        <v>0.2</v>
      </c>
    </row>
    <row r="8" spans="2:7" outlineLevel="1" x14ac:dyDescent="0.3">
      <c r="B8" s="31"/>
      <c r="C8" s="31" t="s">
        <v>124</v>
      </c>
      <c r="D8">
        <v>0.2</v>
      </c>
      <c r="E8" s="33">
        <v>0.1</v>
      </c>
      <c r="F8" s="33">
        <v>0.3</v>
      </c>
      <c r="G8" s="33">
        <v>0.2</v>
      </c>
    </row>
    <row r="9" spans="2:7" outlineLevel="1" x14ac:dyDescent="0.3">
      <c r="B9" s="31"/>
      <c r="C9" s="31" t="s">
        <v>125</v>
      </c>
      <c r="D9">
        <v>0.2</v>
      </c>
      <c r="E9" s="33">
        <v>0.1</v>
      </c>
      <c r="F9" s="33">
        <v>0.3</v>
      </c>
      <c r="G9" s="33">
        <v>0.2</v>
      </c>
    </row>
    <row r="10" spans="2:7" outlineLevel="1" x14ac:dyDescent="0.3">
      <c r="B10" s="31"/>
      <c r="C10" s="31" t="s">
        <v>126</v>
      </c>
      <c r="D10">
        <v>0.2</v>
      </c>
      <c r="E10" s="33">
        <v>0.1</v>
      </c>
      <c r="F10" s="33">
        <v>0.3</v>
      </c>
      <c r="G10" s="33">
        <v>0.2</v>
      </c>
    </row>
    <row r="11" spans="2:7" x14ac:dyDescent="0.3">
      <c r="B11" s="12" t="s">
        <v>134</v>
      </c>
      <c r="C11" s="12"/>
      <c r="D11" s="30"/>
      <c r="E11" s="30"/>
      <c r="F11" s="30"/>
      <c r="G11" s="30"/>
    </row>
    <row r="12" spans="2:7" ht="15" outlineLevel="1" thickBot="1" x14ac:dyDescent="0.35">
      <c r="B12" s="32"/>
      <c r="C12" s="32" t="s">
        <v>155</v>
      </c>
      <c r="D12" s="29">
        <v>31543.9</v>
      </c>
      <c r="E12" s="29">
        <v>32038.95</v>
      </c>
      <c r="F12" s="29">
        <v>31048.85</v>
      </c>
      <c r="G12" s="29">
        <v>31543.9</v>
      </c>
    </row>
    <row r="13" spans="2:7" x14ac:dyDescent="0.3">
      <c r="B13" t="s">
        <v>135</v>
      </c>
    </row>
    <row r="14" spans="2:7" x14ac:dyDescent="0.3">
      <c r="B14" t="s">
        <v>136</v>
      </c>
    </row>
    <row r="15" spans="2:7" x14ac:dyDescent="0.3">
      <c r="B15"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2E14-5A51-4658-B416-A1DFAE8B7D7A}">
  <dimension ref="D3:H11"/>
  <sheetViews>
    <sheetView workbookViewId="0">
      <selection activeCell="D4" sqref="D4:H4"/>
    </sheetView>
  </sheetViews>
  <sheetFormatPr defaultRowHeight="14.4" x14ac:dyDescent="0.3"/>
  <cols>
    <col min="3" max="3" width="18.33203125" customWidth="1"/>
    <col min="4" max="4" width="9.6640625" customWidth="1"/>
    <col min="5" max="5" width="9.5546875" customWidth="1"/>
    <col min="6" max="6" width="10.44140625" customWidth="1"/>
    <col min="7" max="7" width="9.6640625" customWidth="1"/>
    <col min="8" max="8" width="12.33203125" customWidth="1"/>
  </cols>
  <sheetData>
    <row r="3" spans="4:8" ht="15" thickBot="1" x14ac:dyDescent="0.35"/>
    <row r="4" spans="4:8" x14ac:dyDescent="0.3">
      <c r="D4" s="65" t="s">
        <v>120</v>
      </c>
      <c r="E4" s="66"/>
      <c r="F4" s="66"/>
      <c r="G4" s="66"/>
      <c r="H4" s="67"/>
    </row>
    <row r="5" spans="4:8" x14ac:dyDescent="0.3">
      <c r="D5" s="18"/>
      <c r="H5" s="19"/>
    </row>
    <row r="6" spans="4:8" x14ac:dyDescent="0.3">
      <c r="D6" s="20" t="s">
        <v>5</v>
      </c>
      <c r="E6" s="21" t="s">
        <v>6</v>
      </c>
      <c r="F6" s="21" t="s">
        <v>7</v>
      </c>
      <c r="G6" s="22" t="s">
        <v>9</v>
      </c>
      <c r="H6" s="23" t="s">
        <v>121</v>
      </c>
    </row>
    <row r="7" spans="4:8" x14ac:dyDescent="0.3">
      <c r="D7" s="24">
        <v>1250.67</v>
      </c>
      <c r="E7" s="3">
        <v>4</v>
      </c>
      <c r="F7" s="3">
        <v>0.2</v>
      </c>
      <c r="G7">
        <f>(D7*E7)-(F7*D7)</f>
        <v>4752.5460000000003</v>
      </c>
      <c r="H7" s="25">
        <f>SUM(G7:G11)</f>
        <v>31543.9</v>
      </c>
    </row>
    <row r="8" spans="4:8" x14ac:dyDescent="0.3">
      <c r="D8" s="24">
        <v>1500</v>
      </c>
      <c r="E8" s="3">
        <v>3</v>
      </c>
      <c r="F8" s="3">
        <v>0.2</v>
      </c>
      <c r="G8">
        <f>(D8*E8)-(F8*D8)</f>
        <v>4200</v>
      </c>
      <c r="H8" s="19"/>
    </row>
    <row r="9" spans="4:8" x14ac:dyDescent="0.3">
      <c r="D9" s="24">
        <v>512</v>
      </c>
      <c r="E9" s="3">
        <v>17</v>
      </c>
      <c r="F9" s="3">
        <v>0.2</v>
      </c>
      <c r="G9">
        <f>(D9*E9)-(F9*D9)</f>
        <v>8601.6</v>
      </c>
      <c r="H9" s="19"/>
    </row>
    <row r="10" spans="4:8" x14ac:dyDescent="0.3">
      <c r="D10" s="24">
        <v>740.83</v>
      </c>
      <c r="E10" s="3">
        <v>4</v>
      </c>
      <c r="F10" s="3">
        <v>0.2</v>
      </c>
      <c r="G10">
        <f>(D10*E10)-(F10*D10)</f>
        <v>2815.154</v>
      </c>
      <c r="H10" s="19"/>
    </row>
    <row r="11" spans="4:8" ht="15" thickBot="1" x14ac:dyDescent="0.35">
      <c r="D11" s="26">
        <v>947</v>
      </c>
      <c r="E11" s="27">
        <v>12</v>
      </c>
      <c r="F11" s="27">
        <v>0.2</v>
      </c>
      <c r="G11" s="7">
        <f>(D11*E11)-(F11*D11)</f>
        <v>11174.6</v>
      </c>
      <c r="H11" s="28"/>
    </row>
  </sheetData>
  <scenarios current="2" show="2" sqref="H7">
    <scenario name="10% decrease discount" count="5" user="Krina Suthar" comment="Created by Krina Suthar on 17-12-2025">
      <inputCells r="F7" val="0.1"/>
      <inputCells r="F8" val="0.1"/>
      <inputCells r="F9" val="0.1"/>
      <inputCells r="F10" val="0.1"/>
      <inputCells r="F11" val="0.1"/>
    </scenario>
    <scenario name="10% increase discount" count="5" user="Krina Suthar" comment="Created by Krina Suthar on 17-12-2025">
      <inputCells r="F7" val="0.3"/>
      <inputCells r="F8" val="0.3"/>
      <inputCells r="F9" val="0.3"/>
      <inputCells r="F10" val="0.3"/>
      <inputCells r="F11" val="0.3"/>
    </scenario>
    <scenario name="Base" count="5" user="Krina Suthar" comment="Created by Krina Suthar on 17-12-2025">
      <inputCells r="F7" val="0.2"/>
      <inputCells r="F8" val="0.2"/>
      <inputCells r="F9" val="0.2"/>
      <inputCells r="F10" val="0.2"/>
      <inputCells r="F11" val="0.2"/>
    </scenario>
  </scenarios>
  <mergeCells count="1">
    <mergeCell ref="D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8EE6-9E95-4024-A98E-04668027435A}">
  <dimension ref="A1:I18"/>
  <sheetViews>
    <sheetView workbookViewId="0">
      <selection activeCell="M13" sqref="M13"/>
    </sheetView>
  </sheetViews>
  <sheetFormatPr defaultRowHeight="14.4" x14ac:dyDescent="0.3"/>
  <sheetData>
    <row r="1" spans="1:9" ht="15" thickBot="1" x14ac:dyDescent="0.35">
      <c r="A1" s="38" t="s">
        <v>80</v>
      </c>
      <c r="B1" s="39"/>
    </row>
    <row r="2" spans="1:9" ht="15" thickBot="1" x14ac:dyDescent="0.35"/>
    <row r="3" spans="1:9" x14ac:dyDescent="0.3">
      <c r="A3" s="40" t="s">
        <v>81</v>
      </c>
      <c r="B3" s="41"/>
    </row>
    <row r="4" spans="1:9" x14ac:dyDescent="0.3">
      <c r="A4" s="42" t="s">
        <v>82</v>
      </c>
      <c r="B4" s="43">
        <v>0.77340306414342619</v>
      </c>
    </row>
    <row r="5" spans="1:9" x14ac:dyDescent="0.3">
      <c r="A5" s="42" t="s">
        <v>83</v>
      </c>
      <c r="B5" s="43">
        <v>0.59815229962644056</v>
      </c>
    </row>
    <row r="6" spans="1:9" x14ac:dyDescent="0.3">
      <c r="A6" s="42" t="s">
        <v>84</v>
      </c>
      <c r="B6" s="43">
        <v>0.59612276578617007</v>
      </c>
    </row>
    <row r="7" spans="1:9" x14ac:dyDescent="0.3">
      <c r="A7" s="42" t="s">
        <v>85</v>
      </c>
      <c r="B7" s="43">
        <v>86.281230529665166</v>
      </c>
    </row>
    <row r="8" spans="1:9" ht="15" thickBot="1" x14ac:dyDescent="0.35">
      <c r="A8" s="44" t="s">
        <v>86</v>
      </c>
      <c r="B8" s="45">
        <v>200</v>
      </c>
    </row>
    <row r="9" spans="1:9" ht="15" thickBot="1" x14ac:dyDescent="0.35"/>
    <row r="10" spans="1:9" ht="15" thickBot="1" x14ac:dyDescent="0.35">
      <c r="A10" s="46" t="s">
        <v>87</v>
      </c>
    </row>
    <row r="11" spans="1:9" x14ac:dyDescent="0.3">
      <c r="A11" s="48"/>
      <c r="B11" s="47" t="s">
        <v>92</v>
      </c>
      <c r="C11" s="47" t="s">
        <v>93</v>
      </c>
      <c r="D11" s="47" t="s">
        <v>94</v>
      </c>
      <c r="E11" s="47" t="s">
        <v>95</v>
      </c>
      <c r="F11" s="49" t="s">
        <v>96</v>
      </c>
    </row>
    <row r="12" spans="1:9" x14ac:dyDescent="0.3">
      <c r="A12" s="42" t="s">
        <v>88</v>
      </c>
      <c r="B12" s="50">
        <v>1</v>
      </c>
      <c r="C12" s="50">
        <v>2194058.1833402822</v>
      </c>
      <c r="D12" s="50">
        <v>2194058.1833402822</v>
      </c>
      <c r="E12" s="50">
        <v>294.72398427548114</v>
      </c>
      <c r="F12" s="43">
        <v>4.6269367558910499E-41</v>
      </c>
    </row>
    <row r="13" spans="1:9" x14ac:dyDescent="0.3">
      <c r="A13" s="42" t="s">
        <v>89</v>
      </c>
      <c r="B13" s="50">
        <v>198</v>
      </c>
      <c r="C13" s="50">
        <v>1474001.2468592182</v>
      </c>
      <c r="D13" s="50">
        <v>7444.4507417132236</v>
      </c>
      <c r="E13" s="50"/>
      <c r="F13" s="43"/>
    </row>
    <row r="14" spans="1:9" ht="15" thickBot="1" x14ac:dyDescent="0.35">
      <c r="A14" s="44" t="s">
        <v>90</v>
      </c>
      <c r="B14" s="37">
        <v>199</v>
      </c>
      <c r="C14" s="37">
        <v>3668059.4301995002</v>
      </c>
      <c r="D14" s="37"/>
      <c r="E14" s="37"/>
      <c r="F14" s="45"/>
    </row>
    <row r="15" spans="1:9" ht="15" thickBot="1" x14ac:dyDescent="0.35"/>
    <row r="16" spans="1:9" x14ac:dyDescent="0.3">
      <c r="A16" s="48"/>
      <c r="B16" s="47" t="s">
        <v>97</v>
      </c>
      <c r="C16" s="47" t="s">
        <v>85</v>
      </c>
      <c r="D16" s="47" t="s">
        <v>98</v>
      </c>
      <c r="E16" s="47" t="s">
        <v>99</v>
      </c>
      <c r="F16" s="47" t="s">
        <v>100</v>
      </c>
      <c r="G16" s="47" t="s">
        <v>101</v>
      </c>
      <c r="H16" s="47" t="s">
        <v>102</v>
      </c>
      <c r="I16" s="49" t="s">
        <v>103</v>
      </c>
    </row>
    <row r="17" spans="1:9" x14ac:dyDescent="0.3">
      <c r="A17" s="42" t="s">
        <v>91</v>
      </c>
      <c r="B17" s="50">
        <v>-1.0315504901911368</v>
      </c>
      <c r="C17" s="50">
        <v>20.860617005445505</v>
      </c>
      <c r="D17" s="50">
        <v>-4.9449663445805959E-2</v>
      </c>
      <c r="E17" s="50">
        <v>0.96061079696907459</v>
      </c>
      <c r="F17" s="50">
        <v>-42.169051823378965</v>
      </c>
      <c r="G17" s="50">
        <v>40.105950842996691</v>
      </c>
      <c r="H17" s="50">
        <v>-42.169051823378965</v>
      </c>
      <c r="I17" s="43">
        <v>40.105950842996691</v>
      </c>
    </row>
    <row r="18" spans="1:9" ht="15" thickBot="1" x14ac:dyDescent="0.35">
      <c r="A18" s="44" t="s">
        <v>104</v>
      </c>
      <c r="B18" s="37">
        <v>0.35085598819512254</v>
      </c>
      <c r="C18" s="37">
        <v>2.0437188630135626E-2</v>
      </c>
      <c r="D18" s="37">
        <v>17.167527028535048</v>
      </c>
      <c r="E18" s="37">
        <v>4.6269367558907868E-41</v>
      </c>
      <c r="F18" s="37">
        <v>0.31055349501865764</v>
      </c>
      <c r="G18" s="37">
        <v>0.39115848137158743</v>
      </c>
      <c r="H18" s="37">
        <v>0.31055349501865764</v>
      </c>
      <c r="I18" s="45">
        <v>0.39115848137158743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154C-BDCE-442A-9E60-4B840DDC119F}">
  <sheetPr>
    <tabColor theme="9" tint="0.39997558519241921"/>
  </sheetPr>
  <dimension ref="A1:Z52"/>
  <sheetViews>
    <sheetView tabSelected="1" zoomScale="65" workbookViewId="0">
      <selection activeCell="V10" sqref="V10"/>
    </sheetView>
  </sheetViews>
  <sheetFormatPr defaultRowHeight="14.4" x14ac:dyDescent="0.3"/>
  <cols>
    <col min="18" max="18" width="17.21875" customWidth="1"/>
    <col min="19" max="19" width="13" customWidth="1"/>
    <col min="21" max="21" width="11.5546875" bestFit="1" customWidth="1"/>
  </cols>
  <sheetData>
    <row r="1" spans="1:26" x14ac:dyDescent="0.3">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3">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23.4" x14ac:dyDescent="0.45">
      <c r="A3" s="16"/>
      <c r="B3" s="16"/>
      <c r="C3" s="16"/>
      <c r="D3" s="16"/>
      <c r="E3" s="16"/>
      <c r="F3" s="16"/>
      <c r="G3" s="16"/>
      <c r="H3" s="16"/>
      <c r="I3" s="16"/>
      <c r="J3" s="16"/>
      <c r="K3" s="16"/>
      <c r="L3" s="16"/>
      <c r="M3" s="16"/>
      <c r="N3" s="16"/>
      <c r="O3" s="16"/>
      <c r="P3" s="16"/>
      <c r="Q3" s="16"/>
      <c r="R3" s="70" t="s">
        <v>152</v>
      </c>
      <c r="S3" s="71"/>
      <c r="T3" s="16"/>
      <c r="U3" s="16"/>
      <c r="V3" s="16"/>
      <c r="W3" s="16"/>
      <c r="X3" s="16"/>
      <c r="Y3" s="16"/>
      <c r="Z3" s="16"/>
    </row>
    <row r="4" spans="1:26" ht="15" thickBot="1" x14ac:dyDescent="0.35">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x14ac:dyDescent="0.3">
      <c r="A5" s="16"/>
      <c r="B5" s="16"/>
      <c r="C5" s="16"/>
      <c r="D5" s="16"/>
      <c r="E5" s="16"/>
      <c r="F5" s="16"/>
      <c r="G5" s="16"/>
      <c r="H5" s="16"/>
      <c r="I5" s="16"/>
      <c r="J5" s="16"/>
      <c r="K5" s="16"/>
      <c r="L5" s="16"/>
      <c r="M5" s="16"/>
      <c r="N5" s="16"/>
      <c r="O5" s="16"/>
      <c r="P5" s="16"/>
      <c r="Q5" s="16"/>
      <c r="R5" s="58" t="s">
        <v>78</v>
      </c>
      <c r="S5" s="59" t="s">
        <v>77</v>
      </c>
      <c r="T5" s="16"/>
      <c r="U5" s="16"/>
      <c r="V5" s="16"/>
      <c r="W5" s="16"/>
      <c r="X5" s="16"/>
      <c r="Y5" s="16"/>
      <c r="Z5" s="16"/>
    </row>
    <row r="6" spans="1:26" x14ac:dyDescent="0.3">
      <c r="A6" s="16"/>
      <c r="B6" s="16"/>
      <c r="C6" s="16"/>
      <c r="D6" s="16"/>
      <c r="E6" s="16"/>
      <c r="F6" s="16"/>
      <c r="G6" s="16"/>
      <c r="H6" s="16"/>
      <c r="I6" s="16"/>
      <c r="J6" s="16"/>
      <c r="K6" s="16"/>
      <c r="L6" s="16"/>
      <c r="M6" s="16"/>
      <c r="N6" s="16"/>
      <c r="O6" s="16"/>
      <c r="P6" s="16"/>
      <c r="Q6" s="16"/>
      <c r="R6" s="53" t="s">
        <v>56</v>
      </c>
      <c r="S6" s="19">
        <v>11915.829999999998</v>
      </c>
      <c r="T6" s="16"/>
      <c r="U6" s="56"/>
      <c r="V6" s="57"/>
      <c r="W6" s="16"/>
      <c r="X6" s="16"/>
      <c r="Y6" s="16"/>
      <c r="Z6" s="16"/>
    </row>
    <row r="7" spans="1:26" x14ac:dyDescent="0.3">
      <c r="A7" s="16"/>
      <c r="B7" s="16"/>
      <c r="C7" s="16"/>
      <c r="D7" s="16"/>
      <c r="E7" s="16"/>
      <c r="F7" s="16"/>
      <c r="G7" s="16"/>
      <c r="H7" s="16"/>
      <c r="I7" s="16"/>
      <c r="J7" s="16"/>
      <c r="K7" s="16"/>
      <c r="L7" s="16"/>
      <c r="M7" s="16"/>
      <c r="N7" s="16"/>
      <c r="O7" s="16"/>
      <c r="P7" s="16"/>
      <c r="Q7" s="16"/>
      <c r="R7" s="53" t="s">
        <v>39</v>
      </c>
      <c r="S7" s="19">
        <v>11398.32</v>
      </c>
      <c r="T7" s="16"/>
      <c r="U7" s="16"/>
      <c r="V7" s="16"/>
      <c r="W7" s="16"/>
      <c r="X7" s="16"/>
      <c r="Y7" s="16"/>
      <c r="Z7" s="16"/>
    </row>
    <row r="8" spans="1:26" x14ac:dyDescent="0.3">
      <c r="A8" s="16"/>
      <c r="B8" s="16"/>
      <c r="C8" s="16"/>
      <c r="D8" s="16"/>
      <c r="E8" s="16"/>
      <c r="F8" s="16"/>
      <c r="G8" s="16"/>
      <c r="H8" s="16"/>
      <c r="I8" s="16"/>
      <c r="J8" s="16"/>
      <c r="K8" s="16"/>
      <c r="L8" s="16"/>
      <c r="M8" s="16"/>
      <c r="N8" s="16"/>
      <c r="O8" s="16"/>
      <c r="P8" s="16"/>
      <c r="Q8" s="16"/>
      <c r="R8" s="53" t="s">
        <v>62</v>
      </c>
      <c r="S8" s="19">
        <v>8543.9699999999993</v>
      </c>
      <c r="T8" s="16"/>
      <c r="U8" s="56"/>
      <c r="V8" s="16"/>
      <c r="W8" s="16"/>
      <c r="X8" s="16"/>
      <c r="Y8" s="16"/>
      <c r="Z8" s="16"/>
    </row>
    <row r="9" spans="1:26" x14ac:dyDescent="0.3">
      <c r="A9" s="16"/>
      <c r="B9" s="16"/>
      <c r="C9" s="16"/>
      <c r="D9" s="16"/>
      <c r="E9" s="16"/>
      <c r="F9" s="16"/>
      <c r="G9" s="16"/>
      <c r="H9" s="16"/>
      <c r="I9" s="16"/>
      <c r="J9" s="16"/>
      <c r="K9" s="16"/>
      <c r="L9" s="16"/>
      <c r="M9" s="16"/>
      <c r="N9" s="16"/>
      <c r="O9" s="16"/>
      <c r="P9" s="16"/>
      <c r="Q9" s="16"/>
      <c r="R9" s="53" t="s">
        <v>24</v>
      </c>
      <c r="S9" s="19">
        <v>20774.739999999998</v>
      </c>
      <c r="T9" s="16"/>
      <c r="U9" s="56"/>
      <c r="V9" s="16"/>
      <c r="W9" s="16"/>
      <c r="X9" s="16"/>
      <c r="Y9" s="16"/>
      <c r="Z9" s="16"/>
    </row>
    <row r="10" spans="1:26" x14ac:dyDescent="0.3">
      <c r="A10" s="16"/>
      <c r="B10" s="16"/>
      <c r="C10" s="16"/>
      <c r="D10" s="16"/>
      <c r="E10" s="16"/>
      <c r="F10" s="16"/>
      <c r="G10" s="16"/>
      <c r="H10" s="16"/>
      <c r="I10" s="16"/>
      <c r="J10" s="16"/>
      <c r="K10" s="16"/>
      <c r="L10" s="16"/>
      <c r="M10" s="16"/>
      <c r="N10" s="16"/>
      <c r="O10" s="16"/>
      <c r="P10" s="16"/>
      <c r="Q10" s="16"/>
      <c r="R10" s="53" t="s">
        <v>30</v>
      </c>
      <c r="S10" s="19">
        <v>9970.1999999999989</v>
      </c>
      <c r="T10" s="16"/>
      <c r="U10" s="56"/>
      <c r="V10" s="16"/>
      <c r="W10" s="16"/>
      <c r="X10" s="16"/>
      <c r="Y10" s="16"/>
      <c r="Z10" s="16"/>
    </row>
    <row r="11" spans="1:26" x14ac:dyDescent="0.3">
      <c r="A11" s="16"/>
      <c r="B11" s="16"/>
      <c r="C11" s="16"/>
      <c r="D11" s="16"/>
      <c r="E11" s="16"/>
      <c r="F11" s="16"/>
      <c r="G11" s="16"/>
      <c r="H11" s="16"/>
      <c r="I11" s="16"/>
      <c r="J11" s="16"/>
      <c r="K11" s="16"/>
      <c r="L11" s="16"/>
      <c r="M11" s="16"/>
      <c r="N11" s="16"/>
      <c r="O11" s="16"/>
      <c r="P11" s="16"/>
      <c r="Q11" s="16"/>
      <c r="R11" s="53" t="s">
        <v>49</v>
      </c>
      <c r="S11" s="19">
        <v>8090.12</v>
      </c>
      <c r="T11" s="16"/>
      <c r="U11" s="56"/>
      <c r="V11" s="16"/>
      <c r="W11" s="16"/>
      <c r="X11" s="16"/>
      <c r="Y11" s="16"/>
      <c r="Z11" s="16"/>
    </row>
    <row r="12" spans="1:26" x14ac:dyDescent="0.3">
      <c r="A12" s="16"/>
      <c r="B12" s="16"/>
      <c r="C12" s="16"/>
      <c r="D12" s="16"/>
      <c r="E12" s="16"/>
      <c r="F12" s="16"/>
      <c r="G12" s="16"/>
      <c r="H12" s="16"/>
      <c r="I12" s="16"/>
      <c r="J12" s="16"/>
      <c r="K12" s="16"/>
      <c r="L12" s="16"/>
      <c r="M12" s="16"/>
      <c r="N12" s="16"/>
      <c r="O12" s="16"/>
      <c r="P12" s="16"/>
      <c r="Q12" s="16"/>
      <c r="R12" s="53" t="s">
        <v>46</v>
      </c>
      <c r="S12" s="19">
        <v>8635.9500000000007</v>
      </c>
      <c r="T12" s="16"/>
      <c r="U12" s="56"/>
      <c r="V12" s="16"/>
      <c r="W12" s="16"/>
      <c r="X12" s="16"/>
      <c r="Y12" s="16"/>
      <c r="Z12" s="16"/>
    </row>
    <row r="13" spans="1:26" x14ac:dyDescent="0.3">
      <c r="A13" s="16"/>
      <c r="B13" s="16"/>
      <c r="C13" s="16"/>
      <c r="D13" s="16"/>
      <c r="E13" s="16"/>
      <c r="F13" s="16"/>
      <c r="G13" s="16"/>
      <c r="H13" s="16"/>
      <c r="I13" s="16"/>
      <c r="J13" s="16"/>
      <c r="K13" s="16"/>
      <c r="L13" s="16"/>
      <c r="M13" s="16"/>
      <c r="N13" s="16"/>
      <c r="O13" s="16"/>
      <c r="P13" s="16"/>
      <c r="Q13" s="16"/>
      <c r="R13" s="53" t="s">
        <v>32</v>
      </c>
      <c r="S13" s="19">
        <v>17143.289999999997</v>
      </c>
      <c r="T13" s="16"/>
      <c r="U13" s="56"/>
      <c r="V13" s="16"/>
      <c r="W13" s="16"/>
      <c r="X13" s="16"/>
      <c r="Y13" s="16"/>
      <c r="Z13" s="16"/>
    </row>
    <row r="14" spans="1:26" x14ac:dyDescent="0.3">
      <c r="A14" s="16"/>
      <c r="B14" s="16"/>
      <c r="C14" s="16"/>
      <c r="D14" s="16"/>
      <c r="E14" s="16"/>
      <c r="F14" s="16"/>
      <c r="G14" s="16"/>
      <c r="H14" s="16"/>
      <c r="I14" s="16"/>
      <c r="J14" s="16"/>
      <c r="K14" s="16"/>
      <c r="L14" s="16"/>
      <c r="M14" s="16"/>
      <c r="N14" s="16"/>
      <c r="O14" s="16"/>
      <c r="P14" s="16"/>
      <c r="Q14" s="16"/>
      <c r="R14" s="53" t="s">
        <v>27</v>
      </c>
      <c r="S14" s="19">
        <v>7881.9</v>
      </c>
      <c r="T14" s="16"/>
      <c r="U14" s="56"/>
      <c r="V14" s="16"/>
      <c r="W14" s="16"/>
      <c r="X14" s="16"/>
      <c r="Y14" s="16"/>
      <c r="Z14" s="16"/>
    </row>
    <row r="15" spans="1:26" ht="15" thickBot="1" x14ac:dyDescent="0.35">
      <c r="A15" s="16"/>
      <c r="B15" s="16"/>
      <c r="C15" s="16"/>
      <c r="D15" s="16"/>
      <c r="E15" s="16"/>
      <c r="F15" s="16"/>
      <c r="G15" s="16"/>
      <c r="H15" s="16"/>
      <c r="I15" s="16"/>
      <c r="J15" s="16"/>
      <c r="K15" s="16"/>
      <c r="L15" s="16"/>
      <c r="M15" s="16"/>
      <c r="N15" s="16"/>
      <c r="O15" s="16"/>
      <c r="P15" s="16"/>
      <c r="Q15" s="16"/>
      <c r="R15" s="60" t="s">
        <v>15</v>
      </c>
      <c r="S15" s="28">
        <v>8331.8499999999985</v>
      </c>
      <c r="T15" s="16"/>
      <c r="U15" s="56"/>
      <c r="V15" s="16"/>
      <c r="W15" s="16"/>
      <c r="X15" s="16"/>
      <c r="Y15" s="16"/>
      <c r="Z15" s="16"/>
    </row>
    <row r="16" spans="1:26" ht="21" x14ac:dyDescent="0.4">
      <c r="A16" s="16"/>
      <c r="B16" s="16"/>
      <c r="C16" s="16"/>
      <c r="D16" s="16"/>
      <c r="E16" s="16"/>
      <c r="F16" s="16"/>
      <c r="G16" s="16"/>
      <c r="H16" s="16"/>
      <c r="I16" s="16"/>
      <c r="J16" s="16"/>
      <c r="K16" s="16"/>
      <c r="L16" s="16"/>
      <c r="M16" s="16"/>
      <c r="N16" s="16"/>
      <c r="O16" s="16"/>
      <c r="P16" s="16"/>
      <c r="Q16" s="16"/>
      <c r="R16" s="72" t="s">
        <v>153</v>
      </c>
      <c r="S16" s="72"/>
      <c r="T16" s="16"/>
      <c r="U16" s="56"/>
      <c r="V16" s="16"/>
      <c r="W16" s="16"/>
      <c r="X16" s="16"/>
      <c r="Y16" s="16"/>
      <c r="Z16" s="16"/>
    </row>
    <row r="17" spans="1:26" x14ac:dyDescent="0.3">
      <c r="A17" s="16"/>
      <c r="B17" s="16"/>
      <c r="C17" s="16"/>
      <c r="D17" s="16"/>
      <c r="E17" s="16"/>
      <c r="F17" s="16"/>
      <c r="G17" s="16"/>
      <c r="H17" s="16"/>
      <c r="I17" s="16"/>
      <c r="J17" s="16"/>
      <c r="K17" s="16"/>
      <c r="L17" s="16"/>
      <c r="M17" s="16"/>
      <c r="N17" s="16"/>
      <c r="O17" s="16"/>
      <c r="P17" s="16"/>
      <c r="Q17" s="16"/>
      <c r="R17" s="73">
        <f>GETPIVOTDATA("Sales",'Obj5'!$A$3)</f>
        <v>145429.36000000002</v>
      </c>
      <c r="S17" s="73"/>
      <c r="T17" s="16"/>
      <c r="U17" s="16"/>
      <c r="V17" s="16"/>
      <c r="W17" s="16"/>
      <c r="X17" s="16"/>
      <c r="Y17" s="16"/>
      <c r="Z17" s="16"/>
    </row>
    <row r="18" spans="1:26" x14ac:dyDescent="0.3">
      <c r="A18" s="16"/>
      <c r="B18" s="16"/>
      <c r="C18" s="16"/>
      <c r="D18" s="16"/>
      <c r="E18" s="16"/>
      <c r="F18" s="16"/>
      <c r="G18" s="16"/>
      <c r="H18" s="16"/>
      <c r="I18" s="16"/>
      <c r="J18" s="16"/>
      <c r="K18" s="16"/>
      <c r="L18" s="16"/>
      <c r="M18" s="16"/>
      <c r="N18" s="16"/>
      <c r="O18" s="16"/>
      <c r="P18" s="16"/>
      <c r="Q18" s="16"/>
      <c r="R18" s="73"/>
      <c r="S18" s="73"/>
      <c r="T18" s="16"/>
      <c r="U18" s="16"/>
      <c r="V18" s="16"/>
      <c r="W18" s="16"/>
      <c r="X18" s="16"/>
      <c r="Y18" s="16"/>
      <c r="Z18" s="16"/>
    </row>
    <row r="19" spans="1:26" ht="27" customHeight="1" x14ac:dyDescent="0.4">
      <c r="A19" s="16"/>
      <c r="B19" s="16"/>
      <c r="C19" s="16"/>
      <c r="D19" s="16"/>
      <c r="E19" s="16"/>
      <c r="F19" s="16"/>
      <c r="G19" s="16"/>
      <c r="H19" s="16"/>
      <c r="I19" s="16"/>
      <c r="J19" s="16"/>
      <c r="K19" s="16"/>
      <c r="L19" s="16"/>
      <c r="M19" s="16"/>
      <c r="N19" s="16"/>
      <c r="O19" s="16"/>
      <c r="P19" s="16"/>
      <c r="Q19" s="16"/>
      <c r="R19" s="72" t="s">
        <v>121</v>
      </c>
      <c r="S19" s="72"/>
      <c r="T19" s="16"/>
      <c r="U19" s="64"/>
      <c r="V19" s="16"/>
      <c r="W19" s="16"/>
      <c r="X19" s="16"/>
      <c r="Y19" s="16"/>
      <c r="Z19" s="16"/>
    </row>
    <row r="20" spans="1:26" x14ac:dyDescent="0.3">
      <c r="A20" s="16"/>
      <c r="B20" s="16"/>
      <c r="C20" s="16"/>
      <c r="D20" s="16"/>
      <c r="E20" s="16"/>
      <c r="F20" s="16"/>
      <c r="G20" s="16"/>
      <c r="H20" s="16"/>
      <c r="I20" s="16"/>
      <c r="J20" s="16"/>
      <c r="K20" s="16"/>
      <c r="L20" s="16"/>
      <c r="M20" s="16"/>
      <c r="N20" s="16"/>
      <c r="O20" s="16"/>
      <c r="P20" s="16"/>
      <c r="Q20" s="16"/>
      <c r="R20" s="74">
        <f>GETPIVOTDATA("Sum of Profit",'Obj5'!$A$3)</f>
        <v>49014.139999999992</v>
      </c>
      <c r="S20" s="74"/>
      <c r="T20" s="16"/>
      <c r="U20" s="16"/>
      <c r="V20" s="16"/>
      <c r="W20" s="16"/>
      <c r="X20" s="16"/>
      <c r="Y20" s="16"/>
      <c r="Z20" s="16"/>
    </row>
    <row r="21" spans="1:26" x14ac:dyDescent="0.3">
      <c r="A21" s="16"/>
      <c r="B21" s="16"/>
      <c r="C21" s="16"/>
      <c r="D21" s="16"/>
      <c r="E21" s="16"/>
      <c r="F21" s="16"/>
      <c r="G21" s="16"/>
      <c r="H21" s="16"/>
      <c r="I21" s="16"/>
      <c r="J21" s="16"/>
      <c r="K21" s="16"/>
      <c r="L21" s="16"/>
      <c r="M21" s="16"/>
      <c r="N21" s="16"/>
      <c r="O21" s="16"/>
      <c r="P21" s="16"/>
      <c r="Q21" s="16"/>
      <c r="R21" s="74"/>
      <c r="S21" s="74"/>
      <c r="T21" s="16"/>
      <c r="U21" s="16"/>
      <c r="V21" s="16"/>
      <c r="W21" s="16"/>
      <c r="X21" s="16"/>
      <c r="Y21" s="16"/>
      <c r="Z21" s="16"/>
    </row>
    <row r="22" spans="1:26" x14ac:dyDescent="0.3">
      <c r="A22" s="16"/>
      <c r="B22" s="16"/>
      <c r="C22" s="16"/>
      <c r="D22" s="16"/>
      <c r="E22" s="16"/>
      <c r="F22" s="16"/>
      <c r="G22" s="16"/>
      <c r="H22" s="16"/>
      <c r="I22" s="16"/>
      <c r="J22" s="16"/>
      <c r="K22" s="16"/>
      <c r="L22" s="16"/>
      <c r="M22" s="16"/>
      <c r="N22" s="16"/>
      <c r="O22" s="16"/>
      <c r="P22" s="16"/>
      <c r="Q22" s="16"/>
      <c r="R22" s="74"/>
      <c r="S22" s="74"/>
      <c r="T22" s="16"/>
      <c r="U22" s="16"/>
      <c r="V22" s="16"/>
      <c r="W22" s="16"/>
      <c r="X22" s="16"/>
      <c r="Y22" s="16"/>
      <c r="Z22" s="16"/>
    </row>
    <row r="23" spans="1:26" ht="43.2" customHeight="1" x14ac:dyDescent="0.3">
      <c r="A23" s="16"/>
      <c r="B23" s="16"/>
      <c r="C23" s="16"/>
      <c r="D23" s="16"/>
      <c r="E23" s="16"/>
      <c r="F23" s="16"/>
      <c r="G23" s="16"/>
      <c r="H23" s="16"/>
      <c r="I23" s="16"/>
      <c r="J23" s="16"/>
      <c r="K23" s="16"/>
      <c r="L23" s="16"/>
      <c r="M23" s="16"/>
      <c r="N23" s="16"/>
      <c r="O23" s="16"/>
      <c r="P23" s="16"/>
      <c r="Q23" s="16"/>
      <c r="R23" s="68" t="s">
        <v>154</v>
      </c>
      <c r="S23" s="68"/>
      <c r="T23" s="16"/>
      <c r="U23" s="16"/>
      <c r="V23" s="16"/>
      <c r="W23" s="16"/>
      <c r="X23" s="16"/>
      <c r="Y23" s="16"/>
      <c r="Z23" s="16"/>
    </row>
    <row r="24" spans="1:26" ht="23.4" customHeight="1" x14ac:dyDescent="0.3">
      <c r="A24" s="16"/>
      <c r="B24" s="16"/>
      <c r="C24" s="16"/>
      <c r="D24" s="16"/>
      <c r="E24" s="16"/>
      <c r="F24" s="16"/>
      <c r="G24" s="16"/>
      <c r="H24" s="16"/>
      <c r="I24" s="16"/>
      <c r="J24" s="16"/>
      <c r="K24" s="16"/>
      <c r="L24" s="16"/>
      <c r="M24" s="16"/>
      <c r="N24" s="16"/>
      <c r="O24" s="16"/>
      <c r="P24" s="16"/>
      <c r="Q24" s="16"/>
      <c r="R24" s="69"/>
      <c r="S24" s="69"/>
      <c r="T24" s="16"/>
      <c r="U24" s="16"/>
      <c r="V24" s="16"/>
      <c r="W24" s="16"/>
      <c r="X24" s="16"/>
      <c r="Y24" s="16"/>
      <c r="Z24" s="16"/>
    </row>
    <row r="25" spans="1:26" x14ac:dyDescent="0.3">
      <c r="A25" s="16"/>
      <c r="B25" s="16"/>
      <c r="C25" s="16"/>
      <c r="D25" s="16"/>
      <c r="E25" s="16"/>
      <c r="F25" s="16"/>
      <c r="G25" s="16"/>
      <c r="H25" s="16"/>
      <c r="I25" s="16"/>
      <c r="J25" s="16"/>
      <c r="K25" s="16"/>
      <c r="L25" s="16"/>
      <c r="M25" s="16"/>
      <c r="N25" s="16"/>
      <c r="O25" s="16"/>
      <c r="P25" s="16"/>
      <c r="Q25" s="16"/>
      <c r="R25" s="17" t="s">
        <v>106</v>
      </c>
      <c r="S25" s="61">
        <v>341.43505000000005</v>
      </c>
      <c r="T25" s="16"/>
      <c r="U25" s="16"/>
      <c r="V25" s="16"/>
      <c r="W25" s="16"/>
      <c r="X25" s="16"/>
      <c r="Y25" s="16"/>
      <c r="Z25" s="16"/>
    </row>
    <row r="26" spans="1:26" x14ac:dyDescent="0.3">
      <c r="A26" s="16"/>
      <c r="B26" s="16"/>
      <c r="C26" s="16"/>
      <c r="D26" s="16"/>
      <c r="E26" s="16"/>
      <c r="F26" s="16"/>
      <c r="G26" s="16"/>
      <c r="H26" s="16"/>
      <c r="I26" s="16"/>
      <c r="J26" s="16"/>
      <c r="K26" s="16"/>
      <c r="L26" s="16"/>
      <c r="M26" s="16"/>
      <c r="N26" s="16"/>
      <c r="O26" s="16"/>
      <c r="P26" s="16"/>
      <c r="Q26" s="16"/>
      <c r="R26" s="17" t="s">
        <v>85</v>
      </c>
      <c r="S26" s="62">
        <v>9.6001196472332531</v>
      </c>
      <c r="T26" s="16"/>
      <c r="U26" s="16"/>
      <c r="V26" s="16"/>
      <c r="W26" s="16"/>
      <c r="X26" s="16"/>
      <c r="Y26" s="16"/>
      <c r="Z26" s="16"/>
    </row>
    <row r="27" spans="1:26" x14ac:dyDescent="0.3">
      <c r="A27" s="16"/>
      <c r="B27" s="16"/>
      <c r="C27" s="16"/>
      <c r="D27" s="16"/>
      <c r="E27" s="16"/>
      <c r="F27" s="16"/>
      <c r="G27" s="16"/>
      <c r="H27" s="16"/>
      <c r="I27" s="16"/>
      <c r="J27" s="16"/>
      <c r="K27" s="16"/>
      <c r="L27" s="16"/>
      <c r="M27" s="16"/>
      <c r="N27" s="16"/>
      <c r="O27" s="16"/>
      <c r="P27" s="16"/>
      <c r="Q27" s="16"/>
      <c r="R27" s="17" t="s">
        <v>107</v>
      </c>
      <c r="S27" s="62">
        <v>332.255</v>
      </c>
      <c r="T27" s="16"/>
      <c r="U27" s="16"/>
      <c r="V27" s="16"/>
      <c r="W27" s="16"/>
      <c r="X27" s="16"/>
      <c r="Y27" s="16"/>
      <c r="Z27" s="16"/>
    </row>
    <row r="28" spans="1:26" x14ac:dyDescent="0.3">
      <c r="A28" s="16"/>
      <c r="B28" s="16"/>
      <c r="C28" s="16"/>
      <c r="D28" s="16"/>
      <c r="E28" s="16"/>
      <c r="F28" s="16"/>
      <c r="G28" s="16"/>
      <c r="H28" s="16"/>
      <c r="I28" s="16"/>
      <c r="J28" s="16"/>
      <c r="K28" s="16"/>
      <c r="L28" s="16"/>
      <c r="M28" s="16"/>
      <c r="N28" s="16"/>
      <c r="O28" s="16"/>
      <c r="P28" s="16"/>
      <c r="Q28" s="16"/>
      <c r="R28" s="17" t="s">
        <v>108</v>
      </c>
      <c r="S28" s="62" t="e">
        <v>#N/A</v>
      </c>
      <c r="T28" s="16"/>
      <c r="U28" s="16"/>
      <c r="V28" s="16"/>
      <c r="W28" s="16"/>
      <c r="X28" s="16"/>
      <c r="Y28" s="16"/>
      <c r="Z28" s="16"/>
    </row>
    <row r="29" spans="1:26" x14ac:dyDescent="0.3">
      <c r="A29" s="16"/>
      <c r="B29" s="16"/>
      <c r="C29" s="16"/>
      <c r="D29" s="16"/>
      <c r="E29" s="16"/>
      <c r="F29" s="16"/>
      <c r="G29" s="16"/>
      <c r="H29" s="16"/>
      <c r="I29" s="16"/>
      <c r="J29" s="16"/>
      <c r="K29" s="16"/>
      <c r="L29" s="16"/>
      <c r="M29" s="16"/>
      <c r="N29" s="16"/>
      <c r="O29" s="16"/>
      <c r="P29" s="16"/>
      <c r="Q29" s="16"/>
      <c r="R29" s="17" t="s">
        <v>109</v>
      </c>
      <c r="S29" s="62">
        <v>135.7661940552168</v>
      </c>
      <c r="T29" s="16"/>
      <c r="U29" s="16"/>
      <c r="V29" s="16"/>
      <c r="W29" s="16"/>
      <c r="X29" s="16"/>
      <c r="Y29" s="16"/>
      <c r="Z29" s="16"/>
    </row>
    <row r="30" spans="1:26" x14ac:dyDescent="0.3">
      <c r="A30" s="16"/>
      <c r="B30" s="16"/>
      <c r="C30" s="16"/>
      <c r="D30" s="16"/>
      <c r="E30" s="16"/>
      <c r="F30" s="16"/>
      <c r="G30" s="16"/>
      <c r="H30" s="16"/>
      <c r="I30" s="16"/>
      <c r="J30" s="16"/>
      <c r="K30" s="16"/>
      <c r="L30" s="16"/>
      <c r="M30" s="16"/>
      <c r="N30" s="16"/>
      <c r="O30" s="16"/>
      <c r="P30" s="16"/>
      <c r="Q30" s="16"/>
      <c r="R30" s="17" t="s">
        <v>110</v>
      </c>
      <c r="S30" s="62">
        <v>18432.459448238787</v>
      </c>
      <c r="T30" s="16"/>
      <c r="U30" s="16"/>
      <c r="V30" s="16"/>
      <c r="W30" s="16"/>
      <c r="X30" s="16"/>
      <c r="Y30" s="16"/>
      <c r="Z30" s="16"/>
    </row>
    <row r="31" spans="1:26" x14ac:dyDescent="0.3">
      <c r="A31" s="16"/>
      <c r="B31" s="16"/>
      <c r="C31" s="16"/>
      <c r="D31" s="16"/>
      <c r="E31" s="16"/>
      <c r="F31" s="16"/>
      <c r="G31" s="16"/>
      <c r="H31" s="16"/>
      <c r="I31" s="16"/>
      <c r="J31" s="16"/>
      <c r="K31" s="16"/>
      <c r="L31" s="16"/>
      <c r="M31" s="16"/>
      <c r="N31" s="16"/>
      <c r="O31" s="16"/>
      <c r="P31" s="16"/>
      <c r="Q31" s="16"/>
      <c r="R31" s="17" t="s">
        <v>111</v>
      </c>
      <c r="S31" s="62">
        <v>0.26450643813582442</v>
      </c>
      <c r="T31" s="16"/>
      <c r="U31" s="16"/>
      <c r="V31" s="16"/>
      <c r="W31" s="16"/>
      <c r="X31" s="16"/>
      <c r="Y31" s="16"/>
      <c r="Z31" s="16"/>
    </row>
    <row r="32" spans="1:26" x14ac:dyDescent="0.3">
      <c r="A32" s="16"/>
      <c r="B32" s="16"/>
      <c r="C32" s="16"/>
      <c r="D32" s="16"/>
      <c r="E32" s="16"/>
      <c r="F32" s="16"/>
      <c r="G32" s="16"/>
      <c r="H32" s="16"/>
      <c r="I32" s="16"/>
      <c r="J32" s="16"/>
      <c r="K32" s="16"/>
      <c r="L32" s="16"/>
      <c r="M32" s="16"/>
      <c r="N32" s="16"/>
      <c r="O32" s="16"/>
      <c r="P32" s="16"/>
      <c r="Q32" s="16"/>
      <c r="R32" s="17" t="s">
        <v>112</v>
      </c>
      <c r="S32" s="62">
        <v>0.57339636063424715</v>
      </c>
      <c r="T32" s="16"/>
      <c r="U32" s="16"/>
      <c r="V32" s="16"/>
      <c r="W32" s="16"/>
      <c r="X32" s="16"/>
      <c r="Y32" s="16"/>
      <c r="Z32" s="16"/>
    </row>
    <row r="33" spans="1:26" x14ac:dyDescent="0.3">
      <c r="A33" s="16"/>
      <c r="B33" s="16"/>
      <c r="C33" s="16"/>
      <c r="D33" s="16"/>
      <c r="E33" s="16"/>
      <c r="F33" s="16"/>
      <c r="G33" s="16"/>
      <c r="H33" s="16"/>
      <c r="I33" s="16"/>
      <c r="J33" s="16"/>
      <c r="K33" s="16"/>
      <c r="L33" s="16"/>
      <c r="M33" s="16"/>
      <c r="N33" s="16"/>
      <c r="O33" s="16"/>
      <c r="P33" s="16"/>
      <c r="Q33" s="16"/>
      <c r="R33" s="17" t="s">
        <v>113</v>
      </c>
      <c r="S33" s="62">
        <v>704.83</v>
      </c>
      <c r="T33" s="16"/>
      <c r="U33" s="16"/>
      <c r="V33" s="16"/>
      <c r="W33" s="16"/>
      <c r="X33" s="16"/>
      <c r="Y33" s="16"/>
      <c r="Z33" s="16"/>
    </row>
    <row r="34" spans="1:26" x14ac:dyDescent="0.3">
      <c r="A34" s="16"/>
      <c r="B34" s="16"/>
      <c r="C34" s="16"/>
      <c r="D34" s="16"/>
      <c r="E34" s="16"/>
      <c r="F34" s="16"/>
      <c r="G34" s="16"/>
      <c r="H34" s="16"/>
      <c r="I34" s="16"/>
      <c r="J34" s="16"/>
      <c r="K34" s="16"/>
      <c r="L34" s="16"/>
      <c r="M34" s="16"/>
      <c r="N34" s="16"/>
      <c r="O34" s="16"/>
      <c r="P34" s="16"/>
      <c r="Q34" s="16"/>
      <c r="R34" s="17" t="s">
        <v>114</v>
      </c>
      <c r="S34" s="62">
        <v>64.63</v>
      </c>
      <c r="T34" s="16"/>
      <c r="U34" s="16"/>
      <c r="V34" s="16"/>
      <c r="W34" s="16"/>
      <c r="X34" s="16"/>
      <c r="Y34" s="16"/>
      <c r="Z34" s="16"/>
    </row>
    <row r="35" spans="1:26" x14ac:dyDescent="0.3">
      <c r="A35" s="16"/>
      <c r="B35" s="16"/>
      <c r="C35" s="16"/>
      <c r="D35" s="16"/>
      <c r="E35" s="16"/>
      <c r="F35" s="16"/>
      <c r="G35" s="16"/>
      <c r="H35" s="16"/>
      <c r="I35" s="16"/>
      <c r="J35" s="16"/>
      <c r="K35" s="16"/>
      <c r="L35" s="16"/>
      <c r="M35" s="16"/>
      <c r="N35" s="16"/>
      <c r="O35" s="16"/>
      <c r="P35" s="16"/>
      <c r="Q35" s="16"/>
      <c r="R35" s="17" t="s">
        <v>115</v>
      </c>
      <c r="S35" s="62">
        <v>769.46</v>
      </c>
      <c r="T35" s="16"/>
      <c r="U35" s="16"/>
      <c r="V35" s="16"/>
      <c r="W35" s="16"/>
      <c r="X35" s="16"/>
      <c r="Y35" s="16"/>
      <c r="Z35" s="16"/>
    </row>
    <row r="36" spans="1:26" x14ac:dyDescent="0.3">
      <c r="A36" s="16"/>
      <c r="B36" s="16"/>
      <c r="C36" s="16"/>
      <c r="D36" s="16"/>
      <c r="E36" s="16"/>
      <c r="F36" s="16"/>
      <c r="G36" s="16"/>
      <c r="H36" s="16"/>
      <c r="I36" s="16"/>
      <c r="J36" s="16"/>
      <c r="K36" s="16"/>
      <c r="L36" s="16"/>
      <c r="M36" s="16"/>
      <c r="N36" s="16"/>
      <c r="O36" s="16"/>
      <c r="P36" s="16"/>
      <c r="Q36" s="16"/>
      <c r="R36" s="17" t="s">
        <v>116</v>
      </c>
      <c r="S36" s="62">
        <v>68287.010000000009</v>
      </c>
      <c r="T36" s="16"/>
      <c r="U36" s="16"/>
      <c r="V36" s="16"/>
      <c r="W36" s="16"/>
      <c r="X36" s="16"/>
      <c r="Y36" s="16"/>
      <c r="Z36" s="16"/>
    </row>
    <row r="37" spans="1:26" x14ac:dyDescent="0.3">
      <c r="A37" s="16"/>
      <c r="B37" s="16"/>
      <c r="C37" s="16"/>
      <c r="D37" s="16"/>
      <c r="E37" s="16"/>
      <c r="F37" s="16"/>
      <c r="G37" s="16"/>
      <c r="H37" s="16"/>
      <c r="I37" s="16"/>
      <c r="J37" s="16"/>
      <c r="K37" s="16"/>
      <c r="L37" s="16"/>
      <c r="M37" s="16"/>
      <c r="N37" s="16"/>
      <c r="O37" s="16"/>
      <c r="P37" s="16"/>
      <c r="Q37" s="16"/>
      <c r="R37" s="17" t="s">
        <v>117</v>
      </c>
      <c r="S37" s="62">
        <v>200</v>
      </c>
      <c r="T37" s="16"/>
      <c r="U37" s="16"/>
      <c r="V37" s="16"/>
      <c r="W37" s="16"/>
      <c r="X37" s="16"/>
      <c r="Y37" s="16"/>
      <c r="Z37" s="16"/>
    </row>
    <row r="38" spans="1:26" x14ac:dyDescent="0.3">
      <c r="A38" s="16"/>
      <c r="B38" s="16"/>
      <c r="C38" s="16"/>
      <c r="D38" s="16"/>
      <c r="E38" s="16"/>
      <c r="F38" s="16"/>
      <c r="G38" s="16"/>
      <c r="H38" s="16"/>
      <c r="I38" s="16"/>
      <c r="J38" s="16"/>
      <c r="K38" s="16"/>
      <c r="L38" s="16"/>
      <c r="M38" s="16"/>
      <c r="N38" s="16"/>
      <c r="O38" s="16"/>
      <c r="P38" s="16"/>
      <c r="Q38" s="16"/>
      <c r="R38" s="17" t="s">
        <v>118</v>
      </c>
      <c r="S38" s="63">
        <v>18.931018763961465</v>
      </c>
      <c r="T38" s="16"/>
      <c r="U38" s="16"/>
      <c r="V38" s="16"/>
      <c r="W38" s="16"/>
      <c r="X38" s="16"/>
      <c r="Y38" s="16"/>
      <c r="Z38" s="16"/>
    </row>
    <row r="39" spans="1:26"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sheetData>
  <mergeCells count="6">
    <mergeCell ref="R23:S24"/>
    <mergeCell ref="R3:S3"/>
    <mergeCell ref="R16:S16"/>
    <mergeCell ref="R17:S18"/>
    <mergeCell ref="R20:S22"/>
    <mergeCell ref="R19:S19"/>
  </mergeCells>
  <conditionalFormatting sqref="S6:S15">
    <cfRule type="dataBar" priority="1">
      <dataBar>
        <cfvo type="min"/>
        <cfvo type="max"/>
        <color rgb="FFFFB628"/>
      </dataBar>
      <extLst>
        <ext xmlns:x14="http://schemas.microsoft.com/office/spreadsheetml/2009/9/main" uri="{B025F937-C7B1-47D3-B67F-A62EFF666E3E}">
          <x14:id>{CF275BB0-1201-4FE5-911D-B88A77ECE4DE}</x14:id>
        </ext>
      </extLst>
    </cfRule>
  </conditionalFormatting>
  <conditionalFormatting sqref="V7:V16">
    <cfRule type="dataBar" priority="2">
      <dataBar>
        <cfvo type="min"/>
        <cfvo type="max"/>
        <color rgb="FFFFB628"/>
      </dataBar>
      <extLst>
        <ext xmlns:x14="http://schemas.microsoft.com/office/spreadsheetml/2009/9/main" uri="{B025F937-C7B1-47D3-B67F-A62EFF666E3E}">
          <x14:id>{F2C93D4B-2E44-445B-AB93-9EF174A02360}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F275BB0-1201-4FE5-911D-B88A77ECE4DE}">
            <x14:dataBar minLength="0" maxLength="100" border="1" negativeBarBorderColorSameAsPositive="0">
              <x14:cfvo type="autoMin"/>
              <x14:cfvo type="autoMax"/>
              <x14:borderColor rgb="FFFFB628"/>
              <x14:negativeFillColor rgb="FFFF0000"/>
              <x14:negativeBorderColor rgb="FFFF0000"/>
              <x14:axisColor rgb="FF000000"/>
            </x14:dataBar>
          </x14:cfRule>
          <xm:sqref>S6:S15</xm:sqref>
        </x14:conditionalFormatting>
        <x14:conditionalFormatting xmlns:xm="http://schemas.microsoft.com/office/excel/2006/main">
          <x14:cfRule type="dataBar" id="{F2C93D4B-2E44-445B-AB93-9EF174A02360}">
            <x14:dataBar minLength="0" maxLength="100" border="1" negativeBarBorderColorSameAsPositive="0">
              <x14:cfvo type="autoMin"/>
              <x14:cfvo type="autoMax"/>
              <x14:borderColor rgb="FFFFB628"/>
              <x14:negativeFillColor rgb="FFFF0000"/>
              <x14:negativeBorderColor rgb="FFFF0000"/>
              <x14:axisColor rgb="FF000000"/>
            </x14:dataBar>
          </x14:cfRule>
          <xm:sqref>V7:V16</xm:sqref>
        </x14:conditionalFormatting>
      </x14:conditionalFormattings>
    </ex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F14B-73EF-4B61-B516-D7EC5F4C5977}">
  <dimension ref="A2:B14"/>
  <sheetViews>
    <sheetView workbookViewId="0">
      <selection activeCell="F11" sqref="F11"/>
    </sheetView>
  </sheetViews>
  <sheetFormatPr defaultRowHeight="14.4" x14ac:dyDescent="0.3"/>
  <cols>
    <col min="1" max="1" width="15.6640625" bestFit="1" customWidth="1"/>
    <col min="2" max="2" width="11.6640625" bestFit="1" customWidth="1"/>
  </cols>
  <sheetData>
    <row r="2" spans="1:2" ht="15" thickBot="1" x14ac:dyDescent="0.35"/>
    <row r="3" spans="1:2" x14ac:dyDescent="0.3">
      <c r="A3" s="51" t="s">
        <v>78</v>
      </c>
      <c r="B3" s="52" t="s">
        <v>77</v>
      </c>
    </row>
    <row r="4" spans="1:2" x14ac:dyDescent="0.3">
      <c r="A4" s="53" t="s">
        <v>56</v>
      </c>
      <c r="B4" s="19">
        <v>11915.829999999998</v>
      </c>
    </row>
    <row r="5" spans="1:2" x14ac:dyDescent="0.3">
      <c r="A5" s="53" t="s">
        <v>39</v>
      </c>
      <c r="B5" s="19">
        <v>11398.32</v>
      </c>
    </row>
    <row r="6" spans="1:2" x14ac:dyDescent="0.3">
      <c r="A6" s="53" t="s">
        <v>62</v>
      </c>
      <c r="B6" s="19">
        <v>8543.9699999999993</v>
      </c>
    </row>
    <row r="7" spans="1:2" x14ac:dyDescent="0.3">
      <c r="A7" s="53" t="s">
        <v>24</v>
      </c>
      <c r="B7" s="19">
        <v>20774.739999999998</v>
      </c>
    </row>
    <row r="8" spans="1:2" x14ac:dyDescent="0.3">
      <c r="A8" s="53" t="s">
        <v>30</v>
      </c>
      <c r="B8" s="19">
        <v>9970.1999999999989</v>
      </c>
    </row>
    <row r="9" spans="1:2" x14ac:dyDescent="0.3">
      <c r="A9" s="53" t="s">
        <v>49</v>
      </c>
      <c r="B9" s="19">
        <v>8090.12</v>
      </c>
    </row>
    <row r="10" spans="1:2" x14ac:dyDescent="0.3">
      <c r="A10" s="53" t="s">
        <v>46</v>
      </c>
      <c r="B10" s="19">
        <v>8635.9500000000007</v>
      </c>
    </row>
    <row r="11" spans="1:2" x14ac:dyDescent="0.3">
      <c r="A11" s="53" t="s">
        <v>32</v>
      </c>
      <c r="B11" s="19">
        <v>17143.289999999997</v>
      </c>
    </row>
    <row r="12" spans="1:2" x14ac:dyDescent="0.3">
      <c r="A12" s="53" t="s">
        <v>27</v>
      </c>
      <c r="B12" s="19">
        <v>7881.9</v>
      </c>
    </row>
    <row r="13" spans="1:2" x14ac:dyDescent="0.3">
      <c r="A13" s="53" t="s">
        <v>15</v>
      </c>
      <c r="B13" s="19">
        <v>8331.8499999999985</v>
      </c>
    </row>
    <row r="14" spans="1:2" ht="15" thickBot="1" x14ac:dyDescent="0.35">
      <c r="A14" s="54" t="s">
        <v>79</v>
      </c>
      <c r="B14" s="55">
        <v>112686.16999999998</v>
      </c>
    </row>
  </sheetData>
  <conditionalFormatting pivot="1" sqref="B4:B13">
    <cfRule type="dataBar" priority="1">
      <dataBar>
        <cfvo type="min"/>
        <cfvo type="max"/>
        <color rgb="FFFFB628"/>
      </dataBar>
      <extLst>
        <ext xmlns:x14="http://schemas.microsoft.com/office/spreadsheetml/2009/9/main" uri="{B025F937-C7B1-47D3-B67F-A62EFF666E3E}">
          <x14:id>{1C097C97-F82E-403F-B732-07C0710AEE6F}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C097C97-F82E-403F-B732-07C0710AEE6F}">
            <x14:dataBar minLength="0" maxLength="100" border="1" negativeBarBorderColorSameAsPositive="0">
              <x14:cfvo type="autoMin"/>
              <x14:cfvo type="autoMax"/>
              <x14:borderColor rgb="FFFFB628"/>
              <x14:negativeFillColor rgb="FFFF0000"/>
              <x14:negativeBorderColor rgb="FFFF0000"/>
              <x14:axisColor rgb="FF000000"/>
            </x14:dataBar>
          </x14:cfRule>
          <xm:sqref>B4:B13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D2A0-7F90-4039-B5C7-DAD03E028950}">
  <dimension ref="A2:B16"/>
  <sheetViews>
    <sheetView workbookViewId="0">
      <selection activeCell="D4" sqref="D4"/>
    </sheetView>
  </sheetViews>
  <sheetFormatPr defaultRowHeight="14.4" x14ac:dyDescent="0.3"/>
  <cols>
    <col min="1" max="1" width="12.5546875" bestFit="1" customWidth="1"/>
    <col min="2" max="2" width="11.6640625" bestFit="1" customWidth="1"/>
  </cols>
  <sheetData>
    <row r="2" spans="1:2" ht="15" thickBot="1" x14ac:dyDescent="0.35"/>
    <row r="3" spans="1:2" x14ac:dyDescent="0.3">
      <c r="A3" s="51" t="s">
        <v>78</v>
      </c>
      <c r="B3" s="52" t="s">
        <v>77</v>
      </c>
    </row>
    <row r="4" spans="1:2" x14ac:dyDescent="0.3">
      <c r="A4" s="53" t="s">
        <v>138</v>
      </c>
      <c r="B4" s="19">
        <v>14914.650000000001</v>
      </c>
    </row>
    <row r="5" spans="1:2" x14ac:dyDescent="0.3">
      <c r="A5" s="53" t="s">
        <v>139</v>
      </c>
      <c r="B5" s="19">
        <v>14006.359999999999</v>
      </c>
    </row>
    <row r="6" spans="1:2" x14ac:dyDescent="0.3">
      <c r="A6" s="53" t="s">
        <v>140</v>
      </c>
      <c r="B6" s="19">
        <v>17655.219999999998</v>
      </c>
    </row>
    <row r="7" spans="1:2" x14ac:dyDescent="0.3">
      <c r="A7" s="53" t="s">
        <v>141</v>
      </c>
      <c r="B7" s="19">
        <v>22242.129999999997</v>
      </c>
    </row>
    <row r="8" spans="1:2" x14ac:dyDescent="0.3">
      <c r="A8" s="53" t="s">
        <v>142</v>
      </c>
      <c r="B8" s="19">
        <v>18507.339999999997</v>
      </c>
    </row>
    <row r="9" spans="1:2" x14ac:dyDescent="0.3">
      <c r="A9" s="53" t="s">
        <v>143</v>
      </c>
      <c r="B9" s="19">
        <v>20187.509999999998</v>
      </c>
    </row>
    <row r="10" spans="1:2" x14ac:dyDescent="0.3">
      <c r="A10" s="53" t="s">
        <v>144</v>
      </c>
      <c r="B10" s="19">
        <v>11609.039999999999</v>
      </c>
    </row>
    <row r="11" spans="1:2" x14ac:dyDescent="0.3">
      <c r="A11" s="53" t="s">
        <v>145</v>
      </c>
      <c r="B11" s="19">
        <v>10091.699999999999</v>
      </c>
    </row>
    <row r="12" spans="1:2" x14ac:dyDescent="0.3">
      <c r="A12" s="53" t="s">
        <v>146</v>
      </c>
      <c r="B12" s="19">
        <v>20533.499999999996</v>
      </c>
    </row>
    <row r="13" spans="1:2" x14ac:dyDescent="0.3">
      <c r="A13" s="53" t="s">
        <v>147</v>
      </c>
      <c r="B13" s="19">
        <v>14215.240000000002</v>
      </c>
    </row>
    <row r="14" spans="1:2" x14ac:dyDescent="0.3">
      <c r="A14" s="53" t="s">
        <v>148</v>
      </c>
      <c r="B14" s="19">
        <v>20135.030000000002</v>
      </c>
    </row>
    <row r="15" spans="1:2" x14ac:dyDescent="0.3">
      <c r="A15" s="53" t="s">
        <v>149</v>
      </c>
      <c r="B15" s="19">
        <v>11120.04</v>
      </c>
    </row>
    <row r="16" spans="1:2" ht="15" thickBot="1" x14ac:dyDescent="0.35">
      <c r="A16" s="54" t="s">
        <v>79</v>
      </c>
      <c r="B16" s="55">
        <v>195217.75999999995</v>
      </c>
    </row>
  </sheetData>
  <conditionalFormatting pivot="1" sqref="B4 B5 B6 B7 B8 B9 B10 B11 B12 B13 B14 B15">
    <cfRule type="iconSet" priority="1">
      <iconSet iconSet="3Arrows">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B785-0B91-440A-A397-E71EAB3AB0A3}">
  <dimension ref="A3:G10"/>
  <sheetViews>
    <sheetView zoomScale="84" workbookViewId="0">
      <selection activeCell="P26" sqref="P26"/>
    </sheetView>
  </sheetViews>
  <sheetFormatPr defaultRowHeight="14.4" x14ac:dyDescent="0.3"/>
  <cols>
    <col min="1" max="1" width="12.6640625" bestFit="1" customWidth="1"/>
    <col min="2" max="2" width="15.5546875" bestFit="1" customWidth="1"/>
    <col min="3" max="3" width="9" bestFit="1" customWidth="1"/>
    <col min="4" max="4" width="10" bestFit="1" customWidth="1"/>
    <col min="5" max="5" width="9" bestFit="1" customWidth="1"/>
    <col min="6" max="6" width="13.5546875" bestFit="1" customWidth="1"/>
    <col min="7" max="7" width="10.77734375" bestFit="1" customWidth="1"/>
  </cols>
  <sheetData>
    <row r="3" spans="1:7" x14ac:dyDescent="0.3">
      <c r="A3" s="5" t="s">
        <v>77</v>
      </c>
      <c r="B3" s="5" t="s">
        <v>151</v>
      </c>
    </row>
    <row r="4" spans="1:7" x14ac:dyDescent="0.3">
      <c r="A4" s="5" t="s">
        <v>78</v>
      </c>
      <c r="B4" t="s">
        <v>13</v>
      </c>
      <c r="C4" t="s">
        <v>16</v>
      </c>
      <c r="D4" t="s">
        <v>22</v>
      </c>
      <c r="E4" t="s">
        <v>28</v>
      </c>
      <c r="F4" t="s">
        <v>40</v>
      </c>
      <c r="G4" t="s">
        <v>79</v>
      </c>
    </row>
    <row r="5" spans="1:7" x14ac:dyDescent="0.3">
      <c r="A5" s="6" t="s">
        <v>35</v>
      </c>
      <c r="B5" s="75">
        <v>11297.150000000001</v>
      </c>
      <c r="C5" s="75">
        <v>12200.26</v>
      </c>
      <c r="D5" s="75">
        <v>6621.24</v>
      </c>
      <c r="E5" s="75">
        <v>4876.96</v>
      </c>
      <c r="F5" s="75">
        <v>8472.7199999999993</v>
      </c>
      <c r="G5" s="75">
        <v>43468.33</v>
      </c>
    </row>
    <row r="6" spans="1:7" x14ac:dyDescent="0.3">
      <c r="A6" s="6" t="s">
        <v>19</v>
      </c>
      <c r="B6" s="75">
        <v>11389.090000000002</v>
      </c>
      <c r="C6" s="75">
        <v>2401.4499999999998</v>
      </c>
      <c r="D6" s="75">
        <v>2869.54</v>
      </c>
      <c r="E6" s="75">
        <v>7592.3399999999992</v>
      </c>
      <c r="F6" s="75">
        <v>8189.2200000000012</v>
      </c>
      <c r="G6" s="75">
        <v>32441.640000000003</v>
      </c>
    </row>
    <row r="7" spans="1:7" x14ac:dyDescent="0.3">
      <c r="A7" s="6" t="s">
        <v>25</v>
      </c>
      <c r="B7" s="75">
        <v>8037.0100000000011</v>
      </c>
      <c r="C7" s="75">
        <v>8422.82</v>
      </c>
      <c r="D7" s="75">
        <v>8191.7099999999991</v>
      </c>
      <c r="E7" s="75">
        <v>6978.08</v>
      </c>
      <c r="F7" s="75">
        <v>3345.8</v>
      </c>
      <c r="G7" s="75">
        <v>34975.420000000006</v>
      </c>
    </row>
    <row r="8" spans="1:7" x14ac:dyDescent="0.3">
      <c r="A8" s="6" t="s">
        <v>21</v>
      </c>
      <c r="B8" s="75">
        <v>9588.0400000000009</v>
      </c>
      <c r="C8" s="75">
        <v>8393.630000000001</v>
      </c>
      <c r="D8" s="75">
        <v>11989.070000000003</v>
      </c>
      <c r="E8" s="75">
        <v>7982.73</v>
      </c>
      <c r="F8" s="75">
        <v>2295.3199999999997</v>
      </c>
      <c r="G8" s="75">
        <v>40248.79</v>
      </c>
    </row>
    <row r="9" spans="1:7" x14ac:dyDescent="0.3">
      <c r="A9" s="6" t="s">
        <v>12</v>
      </c>
      <c r="B9" s="75">
        <v>6691.17</v>
      </c>
      <c r="C9" s="75">
        <v>10509.429999999998</v>
      </c>
      <c r="D9" s="75">
        <v>11372.44</v>
      </c>
      <c r="E9" s="75">
        <v>9182.7800000000007</v>
      </c>
      <c r="F9" s="75">
        <v>6327.76</v>
      </c>
      <c r="G9" s="75">
        <v>44083.58</v>
      </c>
    </row>
    <row r="10" spans="1:7" x14ac:dyDescent="0.3">
      <c r="A10" s="6" t="s">
        <v>79</v>
      </c>
      <c r="B10" s="75">
        <v>47002.460000000006</v>
      </c>
      <c r="C10" s="75">
        <v>41927.589999999997</v>
      </c>
      <c r="D10" s="75">
        <v>41044</v>
      </c>
      <c r="E10" s="75">
        <v>36612.89</v>
      </c>
      <c r="F10" s="75">
        <v>28630.82</v>
      </c>
      <c r="G10" s="75">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C60E-E897-4FEF-9640-02EE02AA132A}">
  <dimension ref="A3:B9"/>
  <sheetViews>
    <sheetView workbookViewId="0">
      <selection activeCell="N12" sqref="N12"/>
    </sheetView>
  </sheetViews>
  <sheetFormatPr defaultRowHeight="14.4" x14ac:dyDescent="0.3"/>
  <cols>
    <col min="1" max="1" width="13.109375" bestFit="1" customWidth="1"/>
    <col min="2" max="2" width="11.6640625" bestFit="1" customWidth="1"/>
  </cols>
  <sheetData>
    <row r="3" spans="1:2" x14ac:dyDescent="0.3">
      <c r="A3" s="5" t="s">
        <v>78</v>
      </c>
      <c r="B3" t="s">
        <v>77</v>
      </c>
    </row>
    <row r="4" spans="1:2" x14ac:dyDescent="0.3">
      <c r="A4" s="6" t="s">
        <v>13</v>
      </c>
      <c r="B4">
        <v>47002.460000000006</v>
      </c>
    </row>
    <row r="5" spans="1:2" x14ac:dyDescent="0.3">
      <c r="A5" s="6" t="s">
        <v>16</v>
      </c>
      <c r="B5">
        <v>41927.589999999989</v>
      </c>
    </row>
    <row r="6" spans="1:2" x14ac:dyDescent="0.3">
      <c r="A6" s="6" t="s">
        <v>22</v>
      </c>
      <c r="B6">
        <v>41044.000000000007</v>
      </c>
    </row>
    <row r="7" spans="1:2" x14ac:dyDescent="0.3">
      <c r="A7" s="6" t="s">
        <v>28</v>
      </c>
      <c r="B7">
        <v>36612.89</v>
      </c>
    </row>
    <row r="8" spans="1:2" x14ac:dyDescent="0.3">
      <c r="A8" s="6" t="s">
        <v>40</v>
      </c>
      <c r="B8">
        <v>28630.819999999992</v>
      </c>
    </row>
    <row r="9" spans="1:2" x14ac:dyDescent="0.3">
      <c r="A9" s="6" t="s">
        <v>79</v>
      </c>
      <c r="B9">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AD22-F7F5-42E6-B706-3B45B7B96054}">
  <dimension ref="A3:C13"/>
  <sheetViews>
    <sheetView workbookViewId="0">
      <selection activeCell="C16" sqref="C16"/>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78</v>
      </c>
      <c r="B3" t="s">
        <v>77</v>
      </c>
      <c r="C3" t="s">
        <v>105</v>
      </c>
    </row>
    <row r="4" spans="1:3" x14ac:dyDescent="0.3">
      <c r="A4" s="6" t="s">
        <v>141</v>
      </c>
      <c r="B4" s="75">
        <v>19029.96</v>
      </c>
      <c r="C4" s="75">
        <v>6244.01</v>
      </c>
    </row>
    <row r="5" spans="1:3" x14ac:dyDescent="0.3">
      <c r="A5" s="6" t="s">
        <v>142</v>
      </c>
      <c r="B5" s="75">
        <v>18507.339999999997</v>
      </c>
      <c r="C5" s="75">
        <v>6121.3499999999995</v>
      </c>
    </row>
    <row r="6" spans="1:3" x14ac:dyDescent="0.3">
      <c r="A6" s="6" t="s">
        <v>143</v>
      </c>
      <c r="B6" s="75">
        <v>20187.509999999998</v>
      </c>
      <c r="C6" s="75">
        <v>6918</v>
      </c>
    </row>
    <row r="7" spans="1:3" x14ac:dyDescent="0.3">
      <c r="A7" s="6" t="s">
        <v>144</v>
      </c>
      <c r="B7" s="75">
        <v>11609.039999999999</v>
      </c>
      <c r="C7" s="75">
        <v>3743.85</v>
      </c>
    </row>
    <row r="8" spans="1:3" x14ac:dyDescent="0.3">
      <c r="A8" s="6" t="s">
        <v>145</v>
      </c>
      <c r="B8" s="75">
        <v>10091.699999999999</v>
      </c>
      <c r="C8" s="75">
        <v>3302.84</v>
      </c>
    </row>
    <row r="9" spans="1:3" x14ac:dyDescent="0.3">
      <c r="A9" s="6" t="s">
        <v>146</v>
      </c>
      <c r="B9" s="75">
        <v>20533.499999999996</v>
      </c>
      <c r="C9" s="75">
        <v>7457.5199999999995</v>
      </c>
    </row>
    <row r="10" spans="1:3" x14ac:dyDescent="0.3">
      <c r="A10" s="6" t="s">
        <v>147</v>
      </c>
      <c r="B10" s="75">
        <v>14215.240000000002</v>
      </c>
      <c r="C10" s="75">
        <v>4861.7</v>
      </c>
    </row>
    <row r="11" spans="1:3" x14ac:dyDescent="0.3">
      <c r="A11" s="6" t="s">
        <v>148</v>
      </c>
      <c r="B11" s="75">
        <v>20135.030000000002</v>
      </c>
      <c r="C11" s="75">
        <v>6814.8799999999992</v>
      </c>
    </row>
    <row r="12" spans="1:3" x14ac:dyDescent="0.3">
      <c r="A12" s="6" t="s">
        <v>149</v>
      </c>
      <c r="B12" s="75">
        <v>11120.04</v>
      </c>
      <c r="C12" s="75">
        <v>3549.99</v>
      </c>
    </row>
    <row r="13" spans="1:3" x14ac:dyDescent="0.3">
      <c r="A13" s="6" t="s">
        <v>79</v>
      </c>
      <c r="B13" s="75">
        <v>145429.36000000002</v>
      </c>
      <c r="C13" s="75">
        <v>49014.139999999992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Z1000"/>
  <sheetViews>
    <sheetView topLeftCell="A2" workbookViewId="0">
      <selection activeCell="N20" sqref="N20"/>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10" width="8.6640625" customWidth="1"/>
    <col min="12" max="12" width="8.77734375" customWidth="1"/>
    <col min="13" max="26" width="8.6640625" customWidth="1"/>
  </cols>
  <sheetData>
    <row r="1" spans="1:26" ht="14.4" x14ac:dyDescent="0.3">
      <c r="A1" s="2" t="s">
        <v>1</v>
      </c>
      <c r="B1" s="2" t="s">
        <v>2</v>
      </c>
      <c r="C1" s="2" t="s">
        <v>3</v>
      </c>
      <c r="D1" s="2" t="s">
        <v>4</v>
      </c>
      <c r="E1" s="2" t="s">
        <v>5</v>
      </c>
      <c r="F1" s="2" t="s">
        <v>6</v>
      </c>
      <c r="G1" s="2" t="s">
        <v>7</v>
      </c>
      <c r="H1" s="2" t="s">
        <v>8</v>
      </c>
      <c r="I1" s="2" t="s">
        <v>9</v>
      </c>
      <c r="J1" s="9" t="s">
        <v>150</v>
      </c>
      <c r="L1" s="2"/>
      <c r="M1" s="2"/>
      <c r="N1" s="2"/>
      <c r="O1" s="2"/>
      <c r="P1" s="2"/>
      <c r="Q1" s="2"/>
      <c r="R1" s="2"/>
      <c r="S1" s="2"/>
      <c r="T1" s="2"/>
      <c r="U1" s="2"/>
      <c r="V1" s="2"/>
      <c r="W1" s="2"/>
      <c r="X1" s="2"/>
      <c r="Y1" s="2"/>
      <c r="Z1" s="2"/>
    </row>
    <row r="2" spans="1:26" ht="14.4" x14ac:dyDescent="0.3">
      <c r="A2" s="3" t="s">
        <v>10</v>
      </c>
      <c r="B2" s="3" t="s">
        <v>11</v>
      </c>
      <c r="C2" s="3" t="s">
        <v>12</v>
      </c>
      <c r="D2" s="3" t="s">
        <v>13</v>
      </c>
      <c r="E2" s="3">
        <v>1036.0899999999999</v>
      </c>
      <c r="F2" s="3">
        <v>4</v>
      </c>
      <c r="G2" s="3">
        <v>0.2</v>
      </c>
      <c r="H2" s="4">
        <v>45392</v>
      </c>
      <c r="I2" s="3">
        <v>331.55</v>
      </c>
      <c r="J2" s="15">
        <f ca="1">NOW()</f>
        <v>46010.689057986114</v>
      </c>
    </row>
    <row r="3" spans="1:26" ht="14.4" x14ac:dyDescent="0.3">
      <c r="A3" s="3" t="s">
        <v>14</v>
      </c>
      <c r="B3" s="3" t="s">
        <v>15</v>
      </c>
      <c r="C3" s="3" t="s">
        <v>12</v>
      </c>
      <c r="D3" s="3" t="s">
        <v>16</v>
      </c>
      <c r="E3" s="3">
        <v>1101.28</v>
      </c>
      <c r="F3" s="3">
        <v>3</v>
      </c>
      <c r="G3" s="3">
        <v>0.2</v>
      </c>
      <c r="H3" s="4">
        <v>45393</v>
      </c>
      <c r="I3" s="3">
        <v>440.51</v>
      </c>
    </row>
    <row r="4" spans="1:26" ht="14.4" x14ac:dyDescent="0.3">
      <c r="A4" s="3" t="s">
        <v>17</v>
      </c>
      <c r="B4" s="3" t="s">
        <v>18</v>
      </c>
      <c r="C4" s="3" t="s">
        <v>19</v>
      </c>
      <c r="D4" s="3" t="s">
        <v>13</v>
      </c>
      <c r="E4" s="3">
        <v>713.34</v>
      </c>
      <c r="F4" s="3">
        <v>17</v>
      </c>
      <c r="G4" s="3">
        <v>0</v>
      </c>
      <c r="H4" s="4">
        <v>45396</v>
      </c>
      <c r="I4" s="3">
        <v>285.33999999999997</v>
      </c>
    </row>
    <row r="5" spans="1:26" ht="14.4" x14ac:dyDescent="0.3">
      <c r="A5" s="3" t="s">
        <v>20</v>
      </c>
      <c r="B5" s="3" t="s">
        <v>15</v>
      </c>
      <c r="C5" s="3" t="s">
        <v>21</v>
      </c>
      <c r="D5" s="3" t="s">
        <v>22</v>
      </c>
      <c r="E5" s="3">
        <v>760.93</v>
      </c>
      <c r="F5" s="3">
        <v>4</v>
      </c>
      <c r="G5" s="3">
        <v>0.15</v>
      </c>
      <c r="H5" s="4">
        <v>45396</v>
      </c>
      <c r="I5" s="3">
        <v>161.69999999999999</v>
      </c>
    </row>
    <row r="6" spans="1:26" ht="14.4" x14ac:dyDescent="0.3">
      <c r="A6" s="3" t="s">
        <v>23</v>
      </c>
      <c r="B6" s="3" t="s">
        <v>24</v>
      </c>
      <c r="C6" s="3" t="s">
        <v>25</v>
      </c>
      <c r="D6" s="3" t="s">
        <v>13</v>
      </c>
      <c r="E6" s="3">
        <v>847</v>
      </c>
      <c r="F6" s="3">
        <v>12</v>
      </c>
      <c r="G6" s="3">
        <v>0.2</v>
      </c>
      <c r="H6" s="4">
        <v>45397</v>
      </c>
      <c r="I6" s="3">
        <v>271.04000000000002</v>
      </c>
    </row>
    <row r="7" spans="1:26" ht="14.4" x14ac:dyDescent="0.3">
      <c r="A7" s="3" t="s">
        <v>26</v>
      </c>
      <c r="B7" s="3" t="s">
        <v>27</v>
      </c>
      <c r="C7" s="3" t="s">
        <v>25</v>
      </c>
      <c r="D7" s="3" t="s">
        <v>28</v>
      </c>
      <c r="E7" s="3">
        <v>965.64</v>
      </c>
      <c r="F7" s="3">
        <v>8</v>
      </c>
      <c r="G7" s="3">
        <v>0.1</v>
      </c>
      <c r="H7" s="4">
        <v>45398</v>
      </c>
      <c r="I7" s="3">
        <v>304.18</v>
      </c>
    </row>
    <row r="8" spans="1:26" ht="14.4" x14ac:dyDescent="0.3">
      <c r="A8" s="3" t="s">
        <v>29</v>
      </c>
      <c r="B8" s="3" t="s">
        <v>30</v>
      </c>
      <c r="C8" s="3" t="s">
        <v>12</v>
      </c>
      <c r="D8" s="3" t="s">
        <v>22</v>
      </c>
      <c r="E8" s="3">
        <v>1317.53</v>
      </c>
      <c r="F8" s="3">
        <v>12</v>
      </c>
      <c r="G8" s="3">
        <v>0.05</v>
      </c>
      <c r="H8" s="4">
        <v>45398</v>
      </c>
      <c r="I8" s="3">
        <v>312.91000000000003</v>
      </c>
    </row>
    <row r="9" spans="1:26" ht="14.4" x14ac:dyDescent="0.3">
      <c r="A9" s="3" t="s">
        <v>31</v>
      </c>
      <c r="B9" s="3" t="s">
        <v>32</v>
      </c>
      <c r="C9" s="3" t="s">
        <v>19</v>
      </c>
      <c r="D9" s="3" t="s">
        <v>28</v>
      </c>
      <c r="E9" s="3">
        <v>1074.47</v>
      </c>
      <c r="F9" s="3">
        <v>6</v>
      </c>
      <c r="G9" s="3">
        <v>0.2</v>
      </c>
      <c r="H9" s="4">
        <v>45401</v>
      </c>
      <c r="I9" s="3">
        <v>300.85000000000002</v>
      </c>
    </row>
    <row r="10" spans="1:26" ht="14.4" x14ac:dyDescent="0.3">
      <c r="A10" s="3" t="s">
        <v>33</v>
      </c>
      <c r="B10" s="3" t="s">
        <v>34</v>
      </c>
      <c r="C10" s="3" t="s">
        <v>35</v>
      </c>
      <c r="D10" s="3" t="s">
        <v>13</v>
      </c>
      <c r="E10" s="3">
        <v>501.54</v>
      </c>
      <c r="F10" s="3">
        <v>11</v>
      </c>
      <c r="G10" s="3">
        <v>0.05</v>
      </c>
      <c r="H10" s="4">
        <v>45401</v>
      </c>
      <c r="I10" s="3">
        <v>190.59</v>
      </c>
    </row>
    <row r="11" spans="1:26" ht="14.4" x14ac:dyDescent="0.3">
      <c r="A11" s="3" t="s">
        <v>36</v>
      </c>
      <c r="B11" s="3" t="s">
        <v>37</v>
      </c>
      <c r="C11" s="3" t="s">
        <v>35</v>
      </c>
      <c r="D11" s="3" t="s">
        <v>16</v>
      </c>
      <c r="E11" s="3">
        <v>737.31</v>
      </c>
      <c r="F11" s="3">
        <v>2</v>
      </c>
      <c r="G11" s="3">
        <v>0.05</v>
      </c>
      <c r="H11" s="4">
        <v>45401</v>
      </c>
      <c r="I11" s="3">
        <v>350.22</v>
      </c>
    </row>
    <row r="12" spans="1:26" ht="14.4" x14ac:dyDescent="0.3">
      <c r="A12" s="3" t="s">
        <v>38</v>
      </c>
      <c r="B12" s="3" t="s">
        <v>39</v>
      </c>
      <c r="C12" s="3" t="s">
        <v>12</v>
      </c>
      <c r="D12" s="3" t="s">
        <v>40</v>
      </c>
      <c r="E12" s="3">
        <v>1572.82</v>
      </c>
      <c r="F12" s="3">
        <v>6</v>
      </c>
      <c r="G12" s="3">
        <v>0.05</v>
      </c>
      <c r="H12" s="4">
        <v>45402</v>
      </c>
      <c r="I12" s="3">
        <v>672.38</v>
      </c>
    </row>
    <row r="13" spans="1:26" ht="14.4" x14ac:dyDescent="0.3">
      <c r="A13" s="3" t="s">
        <v>38</v>
      </c>
      <c r="B13" s="3" t="s">
        <v>37</v>
      </c>
      <c r="C13" s="3" t="s">
        <v>35</v>
      </c>
      <c r="D13" s="3" t="s">
        <v>13</v>
      </c>
      <c r="E13" s="3">
        <v>1343.13</v>
      </c>
      <c r="F13" s="3">
        <v>14</v>
      </c>
      <c r="G13" s="3">
        <v>0.15</v>
      </c>
      <c r="H13" s="4">
        <v>45404</v>
      </c>
      <c r="I13" s="3">
        <v>456.66</v>
      </c>
    </row>
    <row r="14" spans="1:26" ht="14.4" x14ac:dyDescent="0.3">
      <c r="A14" s="3" t="s">
        <v>26</v>
      </c>
      <c r="B14" s="3" t="s">
        <v>27</v>
      </c>
      <c r="C14" s="3" t="s">
        <v>35</v>
      </c>
      <c r="D14" s="3" t="s">
        <v>13</v>
      </c>
      <c r="E14" s="3">
        <v>1191.58</v>
      </c>
      <c r="F14" s="3">
        <v>14</v>
      </c>
      <c r="G14" s="3">
        <v>0.05</v>
      </c>
      <c r="H14" s="4">
        <v>45406</v>
      </c>
      <c r="I14" s="3">
        <v>452.8</v>
      </c>
    </row>
    <row r="15" spans="1:26" ht="14.4" x14ac:dyDescent="0.3">
      <c r="A15" s="3" t="s">
        <v>41</v>
      </c>
      <c r="B15" s="3" t="s">
        <v>15</v>
      </c>
      <c r="C15" s="3" t="s">
        <v>12</v>
      </c>
      <c r="D15" s="3" t="s">
        <v>28</v>
      </c>
      <c r="E15" s="3">
        <v>822.28</v>
      </c>
      <c r="F15" s="3">
        <v>7</v>
      </c>
      <c r="G15" s="3">
        <v>0.05</v>
      </c>
      <c r="H15" s="4">
        <v>45406</v>
      </c>
      <c r="I15" s="3">
        <v>273.41000000000003</v>
      </c>
    </row>
    <row r="16" spans="1:26" ht="14.4" x14ac:dyDescent="0.3">
      <c r="A16" s="3" t="s">
        <v>42</v>
      </c>
      <c r="B16" s="3" t="s">
        <v>43</v>
      </c>
      <c r="C16" s="3" t="s">
        <v>25</v>
      </c>
      <c r="D16" s="3" t="s">
        <v>28</v>
      </c>
      <c r="E16" s="3">
        <v>521.66999999999996</v>
      </c>
      <c r="F16" s="3">
        <v>15</v>
      </c>
      <c r="G16" s="3">
        <v>0.15</v>
      </c>
      <c r="H16" s="4">
        <v>45409</v>
      </c>
      <c r="I16" s="3">
        <v>155.19999999999999</v>
      </c>
    </row>
    <row r="17" spans="1:9" ht="14.4" x14ac:dyDescent="0.3">
      <c r="A17" s="3" t="s">
        <v>20</v>
      </c>
      <c r="B17" s="3" t="s">
        <v>44</v>
      </c>
      <c r="C17" s="3" t="s">
        <v>21</v>
      </c>
      <c r="D17" s="3" t="s">
        <v>22</v>
      </c>
      <c r="E17" s="3">
        <v>1502.93</v>
      </c>
      <c r="F17" s="3">
        <v>14</v>
      </c>
      <c r="G17" s="3">
        <v>0.2</v>
      </c>
      <c r="H17" s="4">
        <v>45410</v>
      </c>
      <c r="I17" s="3">
        <v>300.58999999999997</v>
      </c>
    </row>
    <row r="18" spans="1:9" ht="14.4" x14ac:dyDescent="0.3">
      <c r="A18" s="3" t="s">
        <v>45</v>
      </c>
      <c r="B18" s="3" t="s">
        <v>15</v>
      </c>
      <c r="C18" s="3" t="s">
        <v>21</v>
      </c>
      <c r="D18" s="3" t="s">
        <v>13</v>
      </c>
      <c r="E18" s="3">
        <v>877.58</v>
      </c>
      <c r="F18" s="3">
        <v>10</v>
      </c>
      <c r="G18" s="3">
        <v>0.15</v>
      </c>
      <c r="H18" s="4">
        <v>45411</v>
      </c>
      <c r="I18" s="3">
        <v>298.38</v>
      </c>
    </row>
    <row r="19" spans="1:9" ht="14.4" x14ac:dyDescent="0.3">
      <c r="A19" s="3" t="s">
        <v>29</v>
      </c>
      <c r="B19" s="3" t="s">
        <v>46</v>
      </c>
      <c r="C19" s="3" t="s">
        <v>12</v>
      </c>
      <c r="D19" s="3" t="s">
        <v>13</v>
      </c>
      <c r="E19" s="3">
        <v>636.70000000000005</v>
      </c>
      <c r="F19" s="3">
        <v>4</v>
      </c>
      <c r="G19" s="3">
        <v>0.2</v>
      </c>
      <c r="H19" s="4">
        <v>45411</v>
      </c>
      <c r="I19" s="3">
        <v>203.74</v>
      </c>
    </row>
    <row r="20" spans="1:9" ht="14.4" x14ac:dyDescent="0.3">
      <c r="A20" s="3" t="s">
        <v>47</v>
      </c>
      <c r="B20" s="3" t="s">
        <v>48</v>
      </c>
      <c r="C20" s="3" t="s">
        <v>12</v>
      </c>
      <c r="D20" s="3" t="s">
        <v>13</v>
      </c>
      <c r="E20" s="3">
        <v>1506.14</v>
      </c>
      <c r="F20" s="3">
        <v>13</v>
      </c>
      <c r="G20" s="3">
        <v>0.2</v>
      </c>
      <c r="H20" s="4">
        <v>45412</v>
      </c>
      <c r="I20" s="3">
        <v>481.96</v>
      </c>
    </row>
    <row r="21" spans="1:9" ht="15.75" customHeight="1" x14ac:dyDescent="0.3">
      <c r="A21" s="3" t="s">
        <v>31</v>
      </c>
      <c r="B21" s="3" t="s">
        <v>32</v>
      </c>
      <c r="C21" s="3" t="s">
        <v>35</v>
      </c>
      <c r="D21" s="3" t="s">
        <v>22</v>
      </c>
      <c r="E21" s="3">
        <v>645.02</v>
      </c>
      <c r="F21" s="3">
        <v>4</v>
      </c>
      <c r="G21" s="3">
        <v>0</v>
      </c>
      <c r="H21" s="4">
        <v>45414</v>
      </c>
      <c r="I21" s="3">
        <v>161.26</v>
      </c>
    </row>
    <row r="22" spans="1:9" ht="15.75" customHeight="1" x14ac:dyDescent="0.3">
      <c r="A22" s="3" t="s">
        <v>26</v>
      </c>
      <c r="B22" s="3" t="s">
        <v>49</v>
      </c>
      <c r="C22" s="3" t="s">
        <v>21</v>
      </c>
      <c r="D22" s="3" t="s">
        <v>16</v>
      </c>
      <c r="E22" s="3">
        <v>953.3</v>
      </c>
      <c r="F22" s="3">
        <v>11</v>
      </c>
      <c r="G22" s="3">
        <v>0</v>
      </c>
      <c r="H22" s="4">
        <v>45415</v>
      </c>
      <c r="I22" s="3">
        <v>476.65</v>
      </c>
    </row>
    <row r="23" spans="1:9" ht="15.75" customHeight="1" x14ac:dyDescent="0.3">
      <c r="A23" s="3" t="s">
        <v>50</v>
      </c>
      <c r="B23" s="3" t="s">
        <v>15</v>
      </c>
      <c r="C23" s="3" t="s">
        <v>25</v>
      </c>
      <c r="D23" s="3" t="s">
        <v>22</v>
      </c>
      <c r="E23" s="3">
        <v>388.56</v>
      </c>
      <c r="F23" s="3">
        <v>14</v>
      </c>
      <c r="G23" s="3">
        <v>0.15</v>
      </c>
      <c r="H23" s="4">
        <v>45416</v>
      </c>
      <c r="I23" s="3">
        <v>82.57</v>
      </c>
    </row>
    <row r="24" spans="1:9" ht="15.75" customHeight="1" x14ac:dyDescent="0.3">
      <c r="A24" s="3" t="s">
        <v>10</v>
      </c>
      <c r="B24" s="3" t="s">
        <v>32</v>
      </c>
      <c r="C24" s="3" t="s">
        <v>12</v>
      </c>
      <c r="D24" s="3" t="s">
        <v>13</v>
      </c>
      <c r="E24" s="3">
        <v>743.17</v>
      </c>
      <c r="F24" s="3">
        <v>9</v>
      </c>
      <c r="G24" s="3">
        <v>0</v>
      </c>
      <c r="H24" s="4">
        <v>45416</v>
      </c>
      <c r="I24" s="3">
        <v>297.27</v>
      </c>
    </row>
    <row r="25" spans="1:9" ht="15.75" customHeight="1" x14ac:dyDescent="0.3">
      <c r="A25" s="3" t="s">
        <v>41</v>
      </c>
      <c r="B25" s="3" t="s">
        <v>32</v>
      </c>
      <c r="C25" s="3" t="s">
        <v>35</v>
      </c>
      <c r="D25" s="3" t="s">
        <v>22</v>
      </c>
      <c r="E25" s="3">
        <v>706.37</v>
      </c>
      <c r="F25" s="3">
        <v>6</v>
      </c>
      <c r="G25" s="3">
        <v>0</v>
      </c>
      <c r="H25" s="4">
        <v>45416</v>
      </c>
      <c r="I25" s="3">
        <v>176.59</v>
      </c>
    </row>
    <row r="26" spans="1:9" ht="15.75" customHeight="1" x14ac:dyDescent="0.3">
      <c r="A26" s="3" t="s">
        <v>14</v>
      </c>
      <c r="B26" s="3" t="s">
        <v>32</v>
      </c>
      <c r="C26" s="3" t="s">
        <v>35</v>
      </c>
      <c r="D26" s="3" t="s">
        <v>40</v>
      </c>
      <c r="E26" s="3">
        <v>925.31</v>
      </c>
      <c r="F26" s="3">
        <v>8</v>
      </c>
      <c r="G26" s="3">
        <v>0.1</v>
      </c>
      <c r="H26" s="4">
        <v>45418</v>
      </c>
      <c r="I26" s="3">
        <v>374.75</v>
      </c>
    </row>
    <row r="27" spans="1:9" ht="15.75" customHeight="1" x14ac:dyDescent="0.3">
      <c r="A27" s="3" t="s">
        <v>36</v>
      </c>
      <c r="B27" s="3" t="s">
        <v>51</v>
      </c>
      <c r="C27" s="3" t="s">
        <v>21</v>
      </c>
      <c r="D27" s="3" t="s">
        <v>22</v>
      </c>
      <c r="E27" s="3">
        <v>1173.1199999999999</v>
      </c>
      <c r="F27" s="3">
        <v>18</v>
      </c>
      <c r="G27" s="3">
        <v>0</v>
      </c>
      <c r="H27" s="4">
        <v>45418</v>
      </c>
      <c r="I27" s="3">
        <v>293.27999999999997</v>
      </c>
    </row>
    <row r="28" spans="1:9" ht="15.75" customHeight="1" x14ac:dyDescent="0.3">
      <c r="A28" s="3" t="s">
        <v>23</v>
      </c>
      <c r="B28" s="3" t="s">
        <v>52</v>
      </c>
      <c r="C28" s="3" t="s">
        <v>25</v>
      </c>
      <c r="D28" s="3" t="s">
        <v>28</v>
      </c>
      <c r="E28" s="3">
        <v>675.54</v>
      </c>
      <c r="F28" s="3">
        <v>17</v>
      </c>
      <c r="G28" s="3">
        <v>0</v>
      </c>
      <c r="H28" s="4">
        <v>45420</v>
      </c>
      <c r="I28" s="3">
        <v>236.44</v>
      </c>
    </row>
    <row r="29" spans="1:9" ht="15.75" customHeight="1" x14ac:dyDescent="0.3">
      <c r="A29" s="3" t="s">
        <v>26</v>
      </c>
      <c r="B29" s="3" t="s">
        <v>15</v>
      </c>
      <c r="C29" s="3" t="s">
        <v>35</v>
      </c>
      <c r="D29" s="3" t="s">
        <v>13</v>
      </c>
      <c r="E29" s="3">
        <v>939.09</v>
      </c>
      <c r="F29" s="3">
        <v>2</v>
      </c>
      <c r="G29" s="3">
        <v>0.05</v>
      </c>
      <c r="H29" s="4">
        <v>45422</v>
      </c>
      <c r="I29" s="3">
        <v>356.85</v>
      </c>
    </row>
    <row r="30" spans="1:9" ht="15.75" customHeight="1" x14ac:dyDescent="0.3">
      <c r="A30" s="3" t="s">
        <v>53</v>
      </c>
      <c r="B30" s="3" t="s">
        <v>54</v>
      </c>
      <c r="C30" s="3" t="s">
        <v>19</v>
      </c>
      <c r="D30" s="3" t="s">
        <v>40</v>
      </c>
      <c r="E30" s="3">
        <v>983.34</v>
      </c>
      <c r="F30" s="3">
        <v>19</v>
      </c>
      <c r="G30" s="3">
        <v>0.1</v>
      </c>
      <c r="H30" s="4">
        <v>45426</v>
      </c>
      <c r="I30" s="3">
        <v>398.25</v>
      </c>
    </row>
    <row r="31" spans="1:9" ht="15.75" customHeight="1" x14ac:dyDescent="0.3">
      <c r="A31" s="3" t="s">
        <v>53</v>
      </c>
      <c r="B31" s="3" t="s">
        <v>24</v>
      </c>
      <c r="C31" s="3" t="s">
        <v>21</v>
      </c>
      <c r="D31" s="3" t="s">
        <v>22</v>
      </c>
      <c r="E31" s="3">
        <v>801.21</v>
      </c>
      <c r="F31" s="3">
        <v>3</v>
      </c>
      <c r="G31" s="3">
        <v>0.2</v>
      </c>
      <c r="H31" s="4">
        <v>45426</v>
      </c>
      <c r="I31" s="3">
        <v>160.24</v>
      </c>
    </row>
    <row r="32" spans="1:9" ht="15.75" customHeight="1" x14ac:dyDescent="0.3">
      <c r="A32" s="3" t="s">
        <v>55</v>
      </c>
      <c r="B32" s="3" t="s">
        <v>56</v>
      </c>
      <c r="C32" s="3" t="s">
        <v>25</v>
      </c>
      <c r="D32" s="3" t="s">
        <v>22</v>
      </c>
      <c r="E32" s="3">
        <v>1450.71</v>
      </c>
      <c r="F32" s="3">
        <v>5</v>
      </c>
      <c r="G32" s="3">
        <v>0.1</v>
      </c>
      <c r="H32" s="4">
        <v>45427</v>
      </c>
      <c r="I32" s="3">
        <v>326.41000000000003</v>
      </c>
    </row>
    <row r="33" spans="1:9" ht="15.75" customHeight="1" x14ac:dyDescent="0.3">
      <c r="A33" s="3" t="s">
        <v>50</v>
      </c>
      <c r="B33" s="3" t="s">
        <v>57</v>
      </c>
      <c r="C33" s="3" t="s">
        <v>35</v>
      </c>
      <c r="D33" s="3" t="s">
        <v>13</v>
      </c>
      <c r="E33" s="3">
        <v>1023.21</v>
      </c>
      <c r="F33" s="3">
        <v>18</v>
      </c>
      <c r="G33" s="3">
        <v>0.05</v>
      </c>
      <c r="H33" s="4">
        <v>45428</v>
      </c>
      <c r="I33" s="3">
        <v>388.82</v>
      </c>
    </row>
    <row r="34" spans="1:9" ht="15.75" customHeight="1" x14ac:dyDescent="0.3">
      <c r="A34" s="3" t="s">
        <v>29</v>
      </c>
      <c r="B34" s="3" t="s">
        <v>48</v>
      </c>
      <c r="C34" s="3" t="s">
        <v>12</v>
      </c>
      <c r="D34" s="3" t="s">
        <v>28</v>
      </c>
      <c r="E34" s="3">
        <v>853.72</v>
      </c>
      <c r="F34" s="3">
        <v>5</v>
      </c>
      <c r="G34" s="3">
        <v>0.15</v>
      </c>
      <c r="H34" s="4">
        <v>45428</v>
      </c>
      <c r="I34" s="3">
        <v>253.98</v>
      </c>
    </row>
    <row r="35" spans="1:9" ht="15.75" customHeight="1" x14ac:dyDescent="0.3">
      <c r="A35" s="3" t="s">
        <v>58</v>
      </c>
      <c r="B35" s="3" t="s">
        <v>44</v>
      </c>
      <c r="C35" s="3" t="s">
        <v>21</v>
      </c>
      <c r="D35" s="3" t="s">
        <v>22</v>
      </c>
      <c r="E35" s="3">
        <v>967.89</v>
      </c>
      <c r="F35" s="3">
        <v>10</v>
      </c>
      <c r="G35" s="3">
        <v>0.1</v>
      </c>
      <c r="H35" s="4">
        <v>45429</v>
      </c>
      <c r="I35" s="3">
        <v>217.78</v>
      </c>
    </row>
    <row r="36" spans="1:9" ht="15.75" customHeight="1" x14ac:dyDescent="0.3">
      <c r="A36" s="3" t="s">
        <v>59</v>
      </c>
      <c r="B36" s="3" t="s">
        <v>54</v>
      </c>
      <c r="C36" s="3" t="s">
        <v>25</v>
      </c>
      <c r="D36" s="3" t="s">
        <v>40</v>
      </c>
      <c r="E36" s="3">
        <v>1200.9000000000001</v>
      </c>
      <c r="F36" s="3">
        <v>14</v>
      </c>
      <c r="G36" s="3">
        <v>0.05</v>
      </c>
      <c r="H36" s="4">
        <v>45429</v>
      </c>
      <c r="I36" s="3">
        <v>513.38</v>
      </c>
    </row>
    <row r="37" spans="1:9" ht="15.75" customHeight="1" x14ac:dyDescent="0.3">
      <c r="A37" s="3" t="s">
        <v>14</v>
      </c>
      <c r="B37" s="3" t="s">
        <v>27</v>
      </c>
      <c r="C37" s="3" t="s">
        <v>12</v>
      </c>
      <c r="D37" s="3" t="s">
        <v>13</v>
      </c>
      <c r="E37" s="3">
        <v>472.38</v>
      </c>
      <c r="F37" s="3">
        <v>12</v>
      </c>
      <c r="G37" s="3">
        <v>0.2</v>
      </c>
      <c r="H37" s="4">
        <v>45429</v>
      </c>
      <c r="I37" s="3">
        <v>151.16</v>
      </c>
    </row>
    <row r="38" spans="1:9" ht="15.75" customHeight="1" x14ac:dyDescent="0.3">
      <c r="A38" s="3" t="s">
        <v>10</v>
      </c>
      <c r="B38" s="3" t="s">
        <v>56</v>
      </c>
      <c r="C38" s="3" t="s">
        <v>19</v>
      </c>
      <c r="D38" s="3" t="s">
        <v>40</v>
      </c>
      <c r="E38" s="3">
        <v>840.92</v>
      </c>
      <c r="F38" s="3">
        <v>9</v>
      </c>
      <c r="G38" s="3">
        <v>0.05</v>
      </c>
      <c r="H38" s="4">
        <v>45429</v>
      </c>
      <c r="I38" s="3">
        <v>359.49</v>
      </c>
    </row>
    <row r="39" spans="1:9" ht="15.75" customHeight="1" x14ac:dyDescent="0.3">
      <c r="A39" s="3" t="s">
        <v>53</v>
      </c>
      <c r="B39" s="3" t="s">
        <v>49</v>
      </c>
      <c r="C39" s="3" t="s">
        <v>35</v>
      </c>
      <c r="D39" s="3" t="s">
        <v>28</v>
      </c>
      <c r="E39" s="3">
        <v>1410.06</v>
      </c>
      <c r="F39" s="3">
        <v>11</v>
      </c>
      <c r="G39" s="3">
        <v>0.05</v>
      </c>
      <c r="H39" s="4">
        <v>45434</v>
      </c>
      <c r="I39" s="3">
        <v>468.84</v>
      </c>
    </row>
    <row r="40" spans="1:9" ht="15.75" customHeight="1" x14ac:dyDescent="0.3">
      <c r="A40" s="3" t="s">
        <v>45</v>
      </c>
      <c r="B40" s="3" t="s">
        <v>60</v>
      </c>
      <c r="C40" s="3" t="s">
        <v>35</v>
      </c>
      <c r="D40" s="3" t="s">
        <v>28</v>
      </c>
      <c r="E40" s="3">
        <v>773.09</v>
      </c>
      <c r="F40" s="3">
        <v>13</v>
      </c>
      <c r="G40" s="3">
        <v>0.15</v>
      </c>
      <c r="H40" s="4">
        <v>45434</v>
      </c>
      <c r="I40" s="3">
        <v>229.99</v>
      </c>
    </row>
    <row r="41" spans="1:9" ht="15.75" customHeight="1" x14ac:dyDescent="0.3">
      <c r="A41" s="3" t="s">
        <v>61</v>
      </c>
      <c r="B41" s="3" t="s">
        <v>62</v>
      </c>
      <c r="C41" s="3" t="s">
        <v>19</v>
      </c>
      <c r="D41" s="3" t="s">
        <v>13</v>
      </c>
      <c r="E41" s="3">
        <v>580.42999999999995</v>
      </c>
      <c r="F41" s="3">
        <v>19</v>
      </c>
      <c r="G41" s="3">
        <v>0.15</v>
      </c>
      <c r="H41" s="4">
        <v>45435</v>
      </c>
      <c r="I41" s="3">
        <v>197.35</v>
      </c>
    </row>
    <row r="42" spans="1:9" ht="15.75" customHeight="1" x14ac:dyDescent="0.3">
      <c r="A42" s="3" t="s">
        <v>20</v>
      </c>
      <c r="B42" s="3" t="s">
        <v>43</v>
      </c>
      <c r="C42" s="3" t="s">
        <v>21</v>
      </c>
      <c r="D42" s="3" t="s">
        <v>13</v>
      </c>
      <c r="E42" s="3">
        <v>1151.21</v>
      </c>
      <c r="F42" s="3">
        <v>15</v>
      </c>
      <c r="G42" s="3">
        <v>0.1</v>
      </c>
      <c r="H42" s="4">
        <v>45445</v>
      </c>
      <c r="I42" s="3">
        <v>414.44</v>
      </c>
    </row>
    <row r="43" spans="1:9" ht="15.75" customHeight="1" x14ac:dyDescent="0.3">
      <c r="A43" s="3" t="s">
        <v>53</v>
      </c>
      <c r="B43" s="3" t="s">
        <v>24</v>
      </c>
      <c r="C43" s="3" t="s">
        <v>35</v>
      </c>
      <c r="D43" s="3" t="s">
        <v>40</v>
      </c>
      <c r="E43" s="3">
        <v>1025.98</v>
      </c>
      <c r="F43" s="3">
        <v>5</v>
      </c>
      <c r="G43" s="3">
        <v>0.2</v>
      </c>
      <c r="H43" s="4">
        <v>45447</v>
      </c>
      <c r="I43" s="3">
        <v>369.35</v>
      </c>
    </row>
    <row r="44" spans="1:9" ht="15.75" customHeight="1" x14ac:dyDescent="0.3">
      <c r="A44" s="3" t="s">
        <v>41</v>
      </c>
      <c r="B44" s="3" t="s">
        <v>57</v>
      </c>
      <c r="C44" s="3" t="s">
        <v>19</v>
      </c>
      <c r="D44" s="3" t="s">
        <v>40</v>
      </c>
      <c r="E44" s="3">
        <v>556.41999999999996</v>
      </c>
      <c r="F44" s="3">
        <v>11</v>
      </c>
      <c r="G44" s="3">
        <v>0.15</v>
      </c>
      <c r="H44" s="4">
        <v>45447</v>
      </c>
      <c r="I44" s="3">
        <v>212.83</v>
      </c>
    </row>
    <row r="45" spans="1:9" ht="15.75" customHeight="1" x14ac:dyDescent="0.3">
      <c r="A45" s="3" t="s">
        <v>58</v>
      </c>
      <c r="B45" s="3" t="s">
        <v>24</v>
      </c>
      <c r="C45" s="3" t="s">
        <v>35</v>
      </c>
      <c r="D45" s="3" t="s">
        <v>13</v>
      </c>
      <c r="E45" s="3">
        <v>840.85</v>
      </c>
      <c r="F45" s="3">
        <v>19</v>
      </c>
      <c r="G45" s="3">
        <v>0.1</v>
      </c>
      <c r="H45" s="4">
        <v>45448</v>
      </c>
      <c r="I45" s="3">
        <v>302.70999999999998</v>
      </c>
    </row>
    <row r="46" spans="1:9" ht="15.75" customHeight="1" x14ac:dyDescent="0.3">
      <c r="A46" s="3" t="s">
        <v>31</v>
      </c>
      <c r="B46" s="3" t="s">
        <v>62</v>
      </c>
      <c r="C46" s="3" t="s">
        <v>25</v>
      </c>
      <c r="D46" s="3" t="s">
        <v>28</v>
      </c>
      <c r="E46" s="3">
        <v>1227.25</v>
      </c>
      <c r="F46" s="3">
        <v>12</v>
      </c>
      <c r="G46" s="3">
        <v>0.15</v>
      </c>
      <c r="H46" s="4">
        <v>45448</v>
      </c>
      <c r="I46" s="3">
        <v>365.11</v>
      </c>
    </row>
    <row r="47" spans="1:9" ht="15.75" customHeight="1" x14ac:dyDescent="0.3">
      <c r="A47" s="3" t="s">
        <v>17</v>
      </c>
      <c r="B47" s="3" t="s">
        <v>63</v>
      </c>
      <c r="C47" s="3" t="s">
        <v>35</v>
      </c>
      <c r="D47" s="3" t="s">
        <v>22</v>
      </c>
      <c r="E47" s="3">
        <v>856.7</v>
      </c>
      <c r="F47" s="3">
        <v>2</v>
      </c>
      <c r="G47" s="3">
        <v>0</v>
      </c>
      <c r="H47" s="4">
        <v>45449</v>
      </c>
      <c r="I47" s="3">
        <v>214.18</v>
      </c>
    </row>
    <row r="48" spans="1:9" ht="15.75" customHeight="1" x14ac:dyDescent="0.3">
      <c r="A48" s="3" t="s">
        <v>55</v>
      </c>
      <c r="B48" s="3" t="s">
        <v>57</v>
      </c>
      <c r="C48" s="3" t="s">
        <v>35</v>
      </c>
      <c r="D48" s="3" t="s">
        <v>40</v>
      </c>
      <c r="E48" s="3">
        <v>1225.42</v>
      </c>
      <c r="F48" s="3">
        <v>8</v>
      </c>
      <c r="G48" s="3">
        <v>0.15</v>
      </c>
      <c r="H48" s="4">
        <v>45449</v>
      </c>
      <c r="I48" s="3">
        <v>468.72</v>
      </c>
    </row>
    <row r="49" spans="1:9" ht="15.75" customHeight="1" x14ac:dyDescent="0.3">
      <c r="A49" s="3" t="s">
        <v>64</v>
      </c>
      <c r="B49" s="3" t="s">
        <v>32</v>
      </c>
      <c r="C49" s="3" t="s">
        <v>25</v>
      </c>
      <c r="D49" s="3" t="s">
        <v>40</v>
      </c>
      <c r="E49" s="3">
        <v>1001.57</v>
      </c>
      <c r="F49" s="3">
        <v>12</v>
      </c>
      <c r="G49" s="3">
        <v>0</v>
      </c>
      <c r="H49" s="4">
        <v>45450</v>
      </c>
      <c r="I49" s="3">
        <v>450.71</v>
      </c>
    </row>
    <row r="50" spans="1:9" ht="15.75" customHeight="1" x14ac:dyDescent="0.3">
      <c r="A50" s="3" t="s">
        <v>58</v>
      </c>
      <c r="B50" s="3" t="s">
        <v>27</v>
      </c>
      <c r="C50" s="3" t="s">
        <v>19</v>
      </c>
      <c r="D50" s="3" t="s">
        <v>28</v>
      </c>
      <c r="E50" s="3">
        <v>1186.8499999999999</v>
      </c>
      <c r="F50" s="3">
        <v>19</v>
      </c>
      <c r="G50" s="3">
        <v>0.2</v>
      </c>
      <c r="H50" s="4">
        <v>45451</v>
      </c>
      <c r="I50" s="3">
        <v>332.32</v>
      </c>
    </row>
    <row r="51" spans="1:9" ht="15.75" customHeight="1" x14ac:dyDescent="0.3">
      <c r="A51" s="3" t="s">
        <v>45</v>
      </c>
      <c r="B51" s="3" t="s">
        <v>52</v>
      </c>
      <c r="C51" s="3" t="s">
        <v>21</v>
      </c>
      <c r="D51" s="3" t="s">
        <v>22</v>
      </c>
      <c r="E51" s="3">
        <v>775.45</v>
      </c>
      <c r="F51" s="3">
        <v>6</v>
      </c>
      <c r="G51" s="3">
        <v>0.1</v>
      </c>
      <c r="H51" s="4">
        <v>45457</v>
      </c>
      <c r="I51" s="3">
        <v>174.48</v>
      </c>
    </row>
    <row r="52" spans="1:9" ht="15.75" customHeight="1" x14ac:dyDescent="0.3">
      <c r="A52" s="3" t="s">
        <v>26</v>
      </c>
      <c r="B52" s="3" t="s">
        <v>34</v>
      </c>
      <c r="C52" s="3" t="s">
        <v>21</v>
      </c>
      <c r="D52" s="3" t="s">
        <v>22</v>
      </c>
      <c r="E52" s="3">
        <v>1021.47</v>
      </c>
      <c r="F52" s="3">
        <v>6</v>
      </c>
      <c r="G52" s="3">
        <v>0.05</v>
      </c>
      <c r="H52" s="4">
        <v>45461</v>
      </c>
      <c r="I52" s="3">
        <v>242.6</v>
      </c>
    </row>
    <row r="53" spans="1:9" ht="15.75" customHeight="1" x14ac:dyDescent="0.3">
      <c r="A53" s="3" t="s">
        <v>59</v>
      </c>
      <c r="B53" s="3" t="s">
        <v>24</v>
      </c>
      <c r="C53" s="3" t="s">
        <v>21</v>
      </c>
      <c r="D53" s="3" t="s">
        <v>16</v>
      </c>
      <c r="E53" s="3">
        <v>1226.6199999999999</v>
      </c>
      <c r="F53" s="3">
        <v>7</v>
      </c>
      <c r="G53" s="3">
        <v>0.1</v>
      </c>
      <c r="H53" s="4">
        <v>45463</v>
      </c>
      <c r="I53" s="3">
        <v>551.98</v>
      </c>
    </row>
    <row r="54" spans="1:9" ht="15.75" customHeight="1" x14ac:dyDescent="0.3">
      <c r="A54" s="3" t="s">
        <v>23</v>
      </c>
      <c r="B54" s="3" t="s">
        <v>65</v>
      </c>
      <c r="C54" s="3" t="s">
        <v>21</v>
      </c>
      <c r="D54" s="3" t="s">
        <v>28</v>
      </c>
      <c r="E54" s="3">
        <v>1086.93</v>
      </c>
      <c r="F54" s="3">
        <v>2</v>
      </c>
      <c r="G54" s="3">
        <v>0</v>
      </c>
      <c r="H54" s="4">
        <v>45464</v>
      </c>
      <c r="I54" s="3">
        <v>380.43</v>
      </c>
    </row>
    <row r="55" spans="1:9" ht="15.75" customHeight="1" x14ac:dyDescent="0.3">
      <c r="A55" s="3" t="s">
        <v>66</v>
      </c>
      <c r="B55" s="3" t="s">
        <v>49</v>
      </c>
      <c r="C55" s="3" t="s">
        <v>12</v>
      </c>
      <c r="D55" s="3" t="s">
        <v>13</v>
      </c>
      <c r="E55" s="3">
        <v>942.9</v>
      </c>
      <c r="F55" s="3">
        <v>18</v>
      </c>
      <c r="G55" s="3">
        <v>0.1</v>
      </c>
      <c r="H55" s="4">
        <v>45466</v>
      </c>
      <c r="I55" s="3">
        <v>339.44</v>
      </c>
    </row>
    <row r="56" spans="1:9" ht="15.75" customHeight="1" x14ac:dyDescent="0.3">
      <c r="A56" s="3" t="s">
        <v>33</v>
      </c>
      <c r="B56" s="3" t="s">
        <v>39</v>
      </c>
      <c r="C56" s="3" t="s">
        <v>25</v>
      </c>
      <c r="D56" s="3" t="s">
        <v>22</v>
      </c>
      <c r="E56" s="3">
        <v>818.8</v>
      </c>
      <c r="F56" s="3">
        <v>15</v>
      </c>
      <c r="G56" s="3">
        <v>0.15</v>
      </c>
      <c r="H56" s="4">
        <v>45468</v>
      </c>
      <c r="I56" s="3">
        <v>173.99</v>
      </c>
    </row>
    <row r="57" spans="1:9" ht="15.75" customHeight="1" x14ac:dyDescent="0.3">
      <c r="A57" s="3" t="s">
        <v>20</v>
      </c>
      <c r="B57" s="3" t="s">
        <v>15</v>
      </c>
      <c r="C57" s="3" t="s">
        <v>21</v>
      </c>
      <c r="D57" s="3" t="s">
        <v>28</v>
      </c>
      <c r="E57" s="3">
        <v>919.04</v>
      </c>
      <c r="F57" s="3">
        <v>10</v>
      </c>
      <c r="G57" s="3">
        <v>0.2</v>
      </c>
      <c r="H57" s="4">
        <v>45468</v>
      </c>
      <c r="I57" s="3">
        <v>257.33</v>
      </c>
    </row>
    <row r="58" spans="1:9" ht="15.75" customHeight="1" x14ac:dyDescent="0.3">
      <c r="A58" s="3" t="s">
        <v>23</v>
      </c>
      <c r="B58" s="3" t="s">
        <v>67</v>
      </c>
      <c r="C58" s="3" t="s">
        <v>35</v>
      </c>
      <c r="D58" s="3" t="s">
        <v>13</v>
      </c>
      <c r="E58" s="3">
        <v>973.26</v>
      </c>
      <c r="F58" s="3">
        <v>11</v>
      </c>
      <c r="G58" s="3">
        <v>0</v>
      </c>
      <c r="H58" s="4">
        <v>45470</v>
      </c>
      <c r="I58" s="3">
        <v>389.3</v>
      </c>
    </row>
    <row r="59" spans="1:9" ht="15.75" customHeight="1" x14ac:dyDescent="0.3">
      <c r="A59" s="3" t="s">
        <v>42</v>
      </c>
      <c r="B59" s="3" t="s">
        <v>65</v>
      </c>
      <c r="C59" s="3" t="s">
        <v>25</v>
      </c>
      <c r="D59" s="3" t="s">
        <v>22</v>
      </c>
      <c r="E59" s="3">
        <v>741.61</v>
      </c>
      <c r="F59" s="3">
        <v>1</v>
      </c>
      <c r="G59" s="3">
        <v>0.2</v>
      </c>
      <c r="H59" s="4">
        <v>45471</v>
      </c>
      <c r="I59" s="3">
        <v>148.32</v>
      </c>
    </row>
    <row r="60" spans="1:9" ht="15.75" customHeight="1" x14ac:dyDescent="0.3">
      <c r="A60" s="3" t="s">
        <v>68</v>
      </c>
      <c r="B60" s="3" t="s">
        <v>39</v>
      </c>
      <c r="C60" s="3" t="s">
        <v>25</v>
      </c>
      <c r="D60" s="3" t="s">
        <v>13</v>
      </c>
      <c r="E60" s="3">
        <v>1248.82</v>
      </c>
      <c r="F60" s="3">
        <v>2</v>
      </c>
      <c r="G60" s="3">
        <v>0.1</v>
      </c>
      <c r="H60" s="4">
        <v>45473</v>
      </c>
      <c r="I60" s="3">
        <v>449.58</v>
      </c>
    </row>
    <row r="61" spans="1:9" ht="15.75" customHeight="1" x14ac:dyDescent="0.3">
      <c r="A61" s="3" t="s">
        <v>14</v>
      </c>
      <c r="B61" s="3" t="s">
        <v>60</v>
      </c>
      <c r="C61" s="3" t="s">
        <v>12</v>
      </c>
      <c r="D61" s="3" t="s">
        <v>16</v>
      </c>
      <c r="E61" s="3">
        <v>1360.36</v>
      </c>
      <c r="F61" s="3">
        <v>17</v>
      </c>
      <c r="G61" s="3">
        <v>0</v>
      </c>
      <c r="H61" s="4">
        <v>45473</v>
      </c>
      <c r="I61" s="3">
        <v>680.18</v>
      </c>
    </row>
    <row r="62" spans="1:9" ht="15.75" customHeight="1" x14ac:dyDescent="0.3">
      <c r="A62" s="3" t="s">
        <v>58</v>
      </c>
      <c r="B62" s="3" t="s">
        <v>32</v>
      </c>
      <c r="C62" s="3" t="s">
        <v>19</v>
      </c>
      <c r="D62" s="3" t="s">
        <v>13</v>
      </c>
      <c r="E62" s="3">
        <v>1383.3</v>
      </c>
      <c r="F62" s="3">
        <v>8</v>
      </c>
      <c r="G62" s="3">
        <v>0.1</v>
      </c>
      <c r="H62" s="4">
        <v>45478</v>
      </c>
      <c r="I62" s="3">
        <v>497.99</v>
      </c>
    </row>
    <row r="63" spans="1:9" ht="15.75" customHeight="1" x14ac:dyDescent="0.3">
      <c r="A63" s="3" t="s">
        <v>36</v>
      </c>
      <c r="B63" s="3" t="s">
        <v>56</v>
      </c>
      <c r="C63" s="3" t="s">
        <v>35</v>
      </c>
      <c r="D63" s="3" t="s">
        <v>40</v>
      </c>
      <c r="E63" s="3">
        <v>488.99</v>
      </c>
      <c r="F63" s="3">
        <v>9</v>
      </c>
      <c r="G63" s="3">
        <v>0</v>
      </c>
      <c r="H63" s="4">
        <v>45479</v>
      </c>
      <c r="I63" s="3">
        <v>220.05</v>
      </c>
    </row>
    <row r="64" spans="1:9" ht="15.75" customHeight="1" x14ac:dyDescent="0.3">
      <c r="A64" s="3" t="s">
        <v>31</v>
      </c>
      <c r="B64" s="3" t="s">
        <v>32</v>
      </c>
      <c r="C64" s="3" t="s">
        <v>19</v>
      </c>
      <c r="D64" s="3" t="s">
        <v>28</v>
      </c>
      <c r="E64" s="3">
        <v>933.71</v>
      </c>
      <c r="F64" s="3">
        <v>17</v>
      </c>
      <c r="G64" s="3">
        <v>0.1</v>
      </c>
      <c r="H64" s="4">
        <v>45481</v>
      </c>
      <c r="I64" s="3">
        <v>294.12</v>
      </c>
    </row>
    <row r="65" spans="1:9" ht="15.75" customHeight="1" x14ac:dyDescent="0.3">
      <c r="A65" s="3" t="s">
        <v>68</v>
      </c>
      <c r="B65" s="3" t="s">
        <v>11</v>
      </c>
      <c r="C65" s="3" t="s">
        <v>12</v>
      </c>
      <c r="D65" s="3" t="s">
        <v>22</v>
      </c>
      <c r="E65" s="3">
        <v>1005.53</v>
      </c>
      <c r="F65" s="3">
        <v>17</v>
      </c>
      <c r="G65" s="3">
        <v>0.2</v>
      </c>
      <c r="H65" s="4">
        <v>45481</v>
      </c>
      <c r="I65" s="3">
        <v>201.11</v>
      </c>
    </row>
    <row r="66" spans="1:9" ht="15.75" customHeight="1" x14ac:dyDescent="0.3">
      <c r="A66" s="3" t="s">
        <v>42</v>
      </c>
      <c r="B66" s="3" t="s">
        <v>62</v>
      </c>
      <c r="C66" s="3" t="s">
        <v>21</v>
      </c>
      <c r="D66" s="3" t="s">
        <v>22</v>
      </c>
      <c r="E66" s="3">
        <v>1100.0999999999999</v>
      </c>
      <c r="F66" s="3">
        <v>5</v>
      </c>
      <c r="G66" s="3">
        <v>0.05</v>
      </c>
      <c r="H66" s="4">
        <v>45482</v>
      </c>
      <c r="I66" s="3">
        <v>261.27</v>
      </c>
    </row>
    <row r="67" spans="1:9" ht="15.75" customHeight="1" x14ac:dyDescent="0.3">
      <c r="A67" s="3" t="s">
        <v>68</v>
      </c>
      <c r="B67" s="3" t="s">
        <v>24</v>
      </c>
      <c r="C67" s="3" t="s">
        <v>25</v>
      </c>
      <c r="D67" s="3" t="s">
        <v>28</v>
      </c>
      <c r="E67" s="3">
        <v>1034.7</v>
      </c>
      <c r="F67" s="3">
        <v>15</v>
      </c>
      <c r="G67" s="3">
        <v>0.15</v>
      </c>
      <c r="H67" s="4">
        <v>45487</v>
      </c>
      <c r="I67" s="3">
        <v>307.82</v>
      </c>
    </row>
    <row r="68" spans="1:9" ht="15.75" customHeight="1" x14ac:dyDescent="0.3">
      <c r="A68" s="3" t="s">
        <v>66</v>
      </c>
      <c r="B68" s="3" t="s">
        <v>32</v>
      </c>
      <c r="C68" s="3" t="s">
        <v>21</v>
      </c>
      <c r="D68" s="3" t="s">
        <v>13</v>
      </c>
      <c r="E68" s="3">
        <v>876.44</v>
      </c>
      <c r="F68" s="3">
        <v>12</v>
      </c>
      <c r="G68" s="3">
        <v>0.05</v>
      </c>
      <c r="H68" s="4">
        <v>45488</v>
      </c>
      <c r="I68" s="3">
        <v>333.05</v>
      </c>
    </row>
    <row r="69" spans="1:9" ht="15.75" customHeight="1" x14ac:dyDescent="0.3">
      <c r="A69" s="3" t="s">
        <v>69</v>
      </c>
      <c r="B69" s="3" t="s">
        <v>56</v>
      </c>
      <c r="C69" s="3" t="s">
        <v>12</v>
      </c>
      <c r="D69" s="3" t="s">
        <v>28</v>
      </c>
      <c r="E69" s="3">
        <v>1371.34</v>
      </c>
      <c r="F69" s="3">
        <v>5</v>
      </c>
      <c r="G69" s="3">
        <v>0.05</v>
      </c>
      <c r="H69" s="4">
        <v>45488</v>
      </c>
      <c r="I69" s="3">
        <v>455.97</v>
      </c>
    </row>
    <row r="70" spans="1:9" ht="15.75" customHeight="1" x14ac:dyDescent="0.3">
      <c r="A70" s="3" t="s">
        <v>58</v>
      </c>
      <c r="B70" s="3" t="s">
        <v>48</v>
      </c>
      <c r="C70" s="3" t="s">
        <v>25</v>
      </c>
      <c r="D70" s="3" t="s">
        <v>22</v>
      </c>
      <c r="E70" s="3">
        <v>1020.26</v>
      </c>
      <c r="F70" s="3">
        <v>11</v>
      </c>
      <c r="G70" s="3">
        <v>0.05</v>
      </c>
      <c r="H70" s="4">
        <v>45494</v>
      </c>
      <c r="I70" s="3">
        <v>242.31</v>
      </c>
    </row>
    <row r="71" spans="1:9" ht="15.75" customHeight="1" x14ac:dyDescent="0.3">
      <c r="A71" s="3" t="s">
        <v>45</v>
      </c>
      <c r="B71" s="3" t="s">
        <v>11</v>
      </c>
      <c r="C71" s="3" t="s">
        <v>35</v>
      </c>
      <c r="D71" s="3" t="s">
        <v>40</v>
      </c>
      <c r="E71" s="3">
        <v>804.81</v>
      </c>
      <c r="F71" s="3">
        <v>1</v>
      </c>
      <c r="G71" s="3">
        <v>0.05</v>
      </c>
      <c r="H71" s="4">
        <v>45502</v>
      </c>
      <c r="I71" s="3">
        <v>344.06</v>
      </c>
    </row>
    <row r="72" spans="1:9" ht="15.75" customHeight="1" x14ac:dyDescent="0.3">
      <c r="A72" s="3" t="s">
        <v>23</v>
      </c>
      <c r="B72" s="3" t="s">
        <v>56</v>
      </c>
      <c r="C72" s="3" t="s">
        <v>35</v>
      </c>
      <c r="D72" s="3" t="s">
        <v>22</v>
      </c>
      <c r="E72" s="3">
        <v>608.66</v>
      </c>
      <c r="F72" s="3">
        <v>1</v>
      </c>
      <c r="G72" s="3">
        <v>0.05</v>
      </c>
      <c r="H72" s="4">
        <v>45503</v>
      </c>
      <c r="I72" s="3">
        <v>144.56</v>
      </c>
    </row>
    <row r="73" spans="1:9" ht="15.75" customHeight="1" x14ac:dyDescent="0.3">
      <c r="A73" s="3" t="s">
        <v>69</v>
      </c>
      <c r="B73" s="3" t="s">
        <v>70</v>
      </c>
      <c r="C73" s="3" t="s">
        <v>21</v>
      </c>
      <c r="D73" s="3" t="s">
        <v>40</v>
      </c>
      <c r="E73" s="3">
        <v>981.2</v>
      </c>
      <c r="F73" s="3">
        <v>19</v>
      </c>
      <c r="G73" s="3">
        <v>0</v>
      </c>
      <c r="H73" s="4">
        <v>45504</v>
      </c>
      <c r="I73" s="3">
        <v>441.54</v>
      </c>
    </row>
    <row r="74" spans="1:9" ht="15.75" customHeight="1" x14ac:dyDescent="0.3">
      <c r="A74" s="3" t="s">
        <v>71</v>
      </c>
      <c r="B74" s="3" t="s">
        <v>56</v>
      </c>
      <c r="C74" s="3" t="s">
        <v>19</v>
      </c>
      <c r="D74" s="3" t="s">
        <v>22</v>
      </c>
      <c r="E74" s="3">
        <v>539.77</v>
      </c>
      <c r="F74" s="3">
        <v>10</v>
      </c>
      <c r="G74" s="3">
        <v>0.15</v>
      </c>
      <c r="H74" s="4">
        <v>45509</v>
      </c>
      <c r="I74" s="3">
        <v>114.7</v>
      </c>
    </row>
    <row r="75" spans="1:9" ht="15.75" customHeight="1" x14ac:dyDescent="0.3">
      <c r="A75" s="3" t="s">
        <v>14</v>
      </c>
      <c r="B75" s="3" t="s">
        <v>72</v>
      </c>
      <c r="C75" s="3" t="s">
        <v>21</v>
      </c>
      <c r="D75" s="3" t="s">
        <v>13</v>
      </c>
      <c r="E75" s="3">
        <v>804.45</v>
      </c>
      <c r="F75" s="3">
        <v>5</v>
      </c>
      <c r="G75" s="3">
        <v>0.2</v>
      </c>
      <c r="H75" s="4">
        <v>45509</v>
      </c>
      <c r="I75" s="3">
        <v>257.42</v>
      </c>
    </row>
    <row r="76" spans="1:9" ht="15.75" customHeight="1" x14ac:dyDescent="0.3">
      <c r="A76" s="3" t="s">
        <v>71</v>
      </c>
      <c r="B76" s="3" t="s">
        <v>39</v>
      </c>
      <c r="C76" s="3" t="s">
        <v>12</v>
      </c>
      <c r="D76" s="3" t="s">
        <v>22</v>
      </c>
      <c r="E76" s="3">
        <v>1526.6</v>
      </c>
      <c r="F76" s="3">
        <v>13</v>
      </c>
      <c r="G76" s="3">
        <v>0.2</v>
      </c>
      <c r="H76" s="4">
        <v>45512</v>
      </c>
      <c r="I76" s="3">
        <v>305.32</v>
      </c>
    </row>
    <row r="77" spans="1:9" ht="15.75" customHeight="1" x14ac:dyDescent="0.3">
      <c r="A77" s="3" t="s">
        <v>14</v>
      </c>
      <c r="B77" s="3" t="s">
        <v>30</v>
      </c>
      <c r="C77" s="3" t="s">
        <v>12</v>
      </c>
      <c r="D77" s="3" t="s">
        <v>22</v>
      </c>
      <c r="E77" s="3">
        <v>1215.26</v>
      </c>
      <c r="F77" s="3">
        <v>5</v>
      </c>
      <c r="G77" s="3">
        <v>0.15</v>
      </c>
      <c r="H77" s="4">
        <v>45513</v>
      </c>
      <c r="I77" s="3">
        <v>258.24</v>
      </c>
    </row>
    <row r="78" spans="1:9" ht="15.75" customHeight="1" x14ac:dyDescent="0.3">
      <c r="A78" s="3" t="s">
        <v>20</v>
      </c>
      <c r="B78" s="3" t="s">
        <v>54</v>
      </c>
      <c r="C78" s="3" t="s">
        <v>35</v>
      </c>
      <c r="D78" s="3" t="s">
        <v>28</v>
      </c>
      <c r="E78" s="3">
        <v>1261.3399999999999</v>
      </c>
      <c r="F78" s="3">
        <v>3</v>
      </c>
      <c r="G78" s="3">
        <v>0</v>
      </c>
      <c r="H78" s="4">
        <v>45519</v>
      </c>
      <c r="I78" s="3">
        <v>441.47</v>
      </c>
    </row>
    <row r="79" spans="1:9" ht="15.75" customHeight="1" x14ac:dyDescent="0.3">
      <c r="A79" s="3" t="s">
        <v>73</v>
      </c>
      <c r="B79" s="3" t="s">
        <v>46</v>
      </c>
      <c r="C79" s="3" t="s">
        <v>25</v>
      </c>
      <c r="D79" s="3" t="s">
        <v>28</v>
      </c>
      <c r="E79" s="3">
        <v>518.07000000000005</v>
      </c>
      <c r="F79" s="3">
        <v>7</v>
      </c>
      <c r="G79" s="3">
        <v>0.05</v>
      </c>
      <c r="H79" s="4">
        <v>45522</v>
      </c>
      <c r="I79" s="3">
        <v>172.26</v>
      </c>
    </row>
    <row r="80" spans="1:9" ht="15.75" customHeight="1" x14ac:dyDescent="0.3">
      <c r="A80" s="3" t="s">
        <v>31</v>
      </c>
      <c r="B80" s="3" t="s">
        <v>30</v>
      </c>
      <c r="C80" s="3" t="s">
        <v>12</v>
      </c>
      <c r="D80" s="3" t="s">
        <v>40</v>
      </c>
      <c r="E80" s="3">
        <v>1111.3399999999999</v>
      </c>
      <c r="F80" s="3">
        <v>1</v>
      </c>
      <c r="G80" s="3">
        <v>0</v>
      </c>
      <c r="H80" s="4">
        <v>45523</v>
      </c>
      <c r="I80" s="3">
        <v>500.1</v>
      </c>
    </row>
    <row r="81" spans="1:9" ht="15.75" customHeight="1" x14ac:dyDescent="0.3">
      <c r="A81" s="3" t="s">
        <v>23</v>
      </c>
      <c r="B81" s="3" t="s">
        <v>32</v>
      </c>
      <c r="C81" s="3" t="s">
        <v>19</v>
      </c>
      <c r="D81" s="3" t="s">
        <v>16</v>
      </c>
      <c r="E81" s="3">
        <v>1291.47</v>
      </c>
      <c r="F81" s="3">
        <v>18</v>
      </c>
      <c r="G81" s="3">
        <v>0.1</v>
      </c>
      <c r="H81" s="4">
        <v>45526</v>
      </c>
      <c r="I81" s="3">
        <v>581.16</v>
      </c>
    </row>
    <row r="82" spans="1:9" ht="15.75" customHeight="1" x14ac:dyDescent="0.3">
      <c r="A82" s="3" t="s">
        <v>26</v>
      </c>
      <c r="B82" s="3" t="s">
        <v>56</v>
      </c>
      <c r="C82" s="3" t="s">
        <v>25</v>
      </c>
      <c r="D82" s="3" t="s">
        <v>13</v>
      </c>
      <c r="E82" s="3">
        <v>679.71</v>
      </c>
      <c r="F82" s="3">
        <v>19</v>
      </c>
      <c r="G82" s="3">
        <v>0</v>
      </c>
      <c r="H82" s="4">
        <v>45534</v>
      </c>
      <c r="I82" s="3">
        <v>271.88</v>
      </c>
    </row>
    <row r="83" spans="1:9" ht="15.75" customHeight="1" x14ac:dyDescent="0.3">
      <c r="A83" s="3" t="s">
        <v>69</v>
      </c>
      <c r="B83" s="3" t="s">
        <v>34</v>
      </c>
      <c r="C83" s="3" t="s">
        <v>19</v>
      </c>
      <c r="D83" s="3" t="s">
        <v>28</v>
      </c>
      <c r="E83" s="3">
        <v>1143.69</v>
      </c>
      <c r="F83" s="3">
        <v>17</v>
      </c>
      <c r="G83" s="3">
        <v>0</v>
      </c>
      <c r="H83" s="4">
        <v>45534</v>
      </c>
      <c r="I83" s="3">
        <v>400.29</v>
      </c>
    </row>
    <row r="84" spans="1:9" ht="15.75" customHeight="1" x14ac:dyDescent="0.3">
      <c r="A84" s="3" t="s">
        <v>53</v>
      </c>
      <c r="B84" s="3" t="s">
        <v>51</v>
      </c>
      <c r="C84" s="3" t="s">
        <v>35</v>
      </c>
      <c r="D84" s="3" t="s">
        <v>22</v>
      </c>
      <c r="E84" s="3">
        <v>790.08</v>
      </c>
      <c r="F84" s="3">
        <v>7</v>
      </c>
      <c r="G84" s="3">
        <v>0.1</v>
      </c>
      <c r="H84" s="4">
        <v>45536</v>
      </c>
      <c r="I84" s="3">
        <v>177.77</v>
      </c>
    </row>
    <row r="85" spans="1:9" ht="15.75" customHeight="1" x14ac:dyDescent="0.3">
      <c r="A85" s="3" t="s">
        <v>20</v>
      </c>
      <c r="B85" s="3" t="s">
        <v>49</v>
      </c>
      <c r="C85" s="3" t="s">
        <v>35</v>
      </c>
      <c r="D85" s="3" t="s">
        <v>13</v>
      </c>
      <c r="E85" s="3">
        <v>1070.68</v>
      </c>
      <c r="F85" s="3">
        <v>7</v>
      </c>
      <c r="G85" s="3">
        <v>0.05</v>
      </c>
      <c r="H85" s="4">
        <v>45536</v>
      </c>
      <c r="I85" s="3">
        <v>406.86</v>
      </c>
    </row>
    <row r="86" spans="1:9" ht="15.75" customHeight="1" x14ac:dyDescent="0.3">
      <c r="A86" s="3" t="s">
        <v>59</v>
      </c>
      <c r="B86" s="3" t="s">
        <v>37</v>
      </c>
      <c r="C86" s="3" t="s">
        <v>12</v>
      </c>
      <c r="D86" s="3" t="s">
        <v>16</v>
      </c>
      <c r="E86" s="3">
        <v>1168.8900000000001</v>
      </c>
      <c r="F86" s="3">
        <v>4</v>
      </c>
      <c r="G86" s="3">
        <v>0.1</v>
      </c>
      <c r="H86" s="4">
        <v>45544</v>
      </c>
      <c r="I86" s="3">
        <v>526</v>
      </c>
    </row>
    <row r="87" spans="1:9" ht="15.75" customHeight="1" x14ac:dyDescent="0.3">
      <c r="A87" s="3" t="s">
        <v>68</v>
      </c>
      <c r="B87" s="3" t="s">
        <v>11</v>
      </c>
      <c r="C87" s="3" t="s">
        <v>21</v>
      </c>
      <c r="D87" s="3" t="s">
        <v>22</v>
      </c>
      <c r="E87" s="3">
        <v>1335.87</v>
      </c>
      <c r="F87" s="3">
        <v>17</v>
      </c>
      <c r="G87" s="3">
        <v>0</v>
      </c>
      <c r="H87" s="4">
        <v>45544</v>
      </c>
      <c r="I87" s="3">
        <v>333.97</v>
      </c>
    </row>
    <row r="88" spans="1:9" ht="15.75" customHeight="1" x14ac:dyDescent="0.3">
      <c r="A88" s="3" t="s">
        <v>41</v>
      </c>
      <c r="B88" s="3" t="s">
        <v>56</v>
      </c>
      <c r="C88" s="3" t="s">
        <v>19</v>
      </c>
      <c r="D88" s="3" t="s">
        <v>28</v>
      </c>
      <c r="E88" s="3">
        <v>873.7</v>
      </c>
      <c r="F88" s="3">
        <v>9</v>
      </c>
      <c r="G88" s="3">
        <v>0</v>
      </c>
      <c r="H88" s="4">
        <v>45546</v>
      </c>
      <c r="I88" s="3">
        <v>305.8</v>
      </c>
    </row>
    <row r="89" spans="1:9" ht="15.75" customHeight="1" x14ac:dyDescent="0.3">
      <c r="A89" s="3" t="s">
        <v>73</v>
      </c>
      <c r="B89" s="3" t="s">
        <v>65</v>
      </c>
      <c r="C89" s="3" t="s">
        <v>12</v>
      </c>
      <c r="D89" s="3" t="s">
        <v>40</v>
      </c>
      <c r="E89" s="3">
        <v>1443.98</v>
      </c>
      <c r="F89" s="3">
        <v>19</v>
      </c>
      <c r="G89" s="3">
        <v>0</v>
      </c>
      <c r="H89" s="4">
        <v>45547</v>
      </c>
      <c r="I89" s="3">
        <v>649.79</v>
      </c>
    </row>
    <row r="90" spans="1:9" ht="15.75" customHeight="1" x14ac:dyDescent="0.3">
      <c r="A90" s="3" t="s">
        <v>41</v>
      </c>
      <c r="B90" s="3" t="s">
        <v>24</v>
      </c>
      <c r="C90" s="3" t="s">
        <v>19</v>
      </c>
      <c r="D90" s="3" t="s">
        <v>40</v>
      </c>
      <c r="E90" s="3">
        <v>1154.33</v>
      </c>
      <c r="F90" s="3">
        <v>11</v>
      </c>
      <c r="G90" s="3">
        <v>0.15</v>
      </c>
      <c r="H90" s="4">
        <v>45549</v>
      </c>
      <c r="I90" s="3">
        <v>441.53</v>
      </c>
    </row>
    <row r="91" spans="1:9" ht="15.75" customHeight="1" x14ac:dyDescent="0.3">
      <c r="A91" s="3" t="s">
        <v>50</v>
      </c>
      <c r="B91" s="3" t="s">
        <v>51</v>
      </c>
      <c r="C91" s="3" t="s">
        <v>21</v>
      </c>
      <c r="D91" s="3" t="s">
        <v>13</v>
      </c>
      <c r="E91" s="3">
        <v>1264.49</v>
      </c>
      <c r="F91" s="3">
        <v>16</v>
      </c>
      <c r="G91" s="3">
        <v>0.05</v>
      </c>
      <c r="H91" s="4">
        <v>45549</v>
      </c>
      <c r="I91" s="3">
        <v>480.51</v>
      </c>
    </row>
    <row r="92" spans="1:9" ht="15.75" customHeight="1" x14ac:dyDescent="0.3">
      <c r="A92" s="3" t="s">
        <v>26</v>
      </c>
      <c r="B92" s="3" t="s">
        <v>67</v>
      </c>
      <c r="C92" s="3" t="s">
        <v>12</v>
      </c>
      <c r="D92" s="3" t="s">
        <v>28</v>
      </c>
      <c r="E92" s="3">
        <v>1101.55</v>
      </c>
      <c r="F92" s="3">
        <v>4</v>
      </c>
      <c r="G92" s="3">
        <v>0.1</v>
      </c>
      <c r="H92" s="4">
        <v>45551</v>
      </c>
      <c r="I92" s="3">
        <v>346.99</v>
      </c>
    </row>
    <row r="93" spans="1:9" ht="15.75" customHeight="1" x14ac:dyDescent="0.3">
      <c r="A93" s="3" t="s">
        <v>74</v>
      </c>
      <c r="B93" s="3" t="s">
        <v>15</v>
      </c>
      <c r="C93" s="3" t="s">
        <v>21</v>
      </c>
      <c r="D93" s="3" t="s">
        <v>28</v>
      </c>
      <c r="E93" s="3">
        <v>727.73</v>
      </c>
      <c r="F93" s="3">
        <v>1</v>
      </c>
      <c r="G93" s="3">
        <v>0.1</v>
      </c>
      <c r="H93" s="4">
        <v>45552</v>
      </c>
      <c r="I93" s="3">
        <v>229.23</v>
      </c>
    </row>
    <row r="94" spans="1:9" ht="15.75" customHeight="1" x14ac:dyDescent="0.3">
      <c r="A94" s="3" t="s">
        <v>75</v>
      </c>
      <c r="B94" s="3" t="s">
        <v>39</v>
      </c>
      <c r="C94" s="3" t="s">
        <v>19</v>
      </c>
      <c r="D94" s="3" t="s">
        <v>40</v>
      </c>
      <c r="E94" s="3">
        <v>875.41</v>
      </c>
      <c r="F94" s="3">
        <v>13</v>
      </c>
      <c r="G94" s="3">
        <v>0.15</v>
      </c>
      <c r="H94" s="4">
        <v>45552</v>
      </c>
      <c r="I94" s="3">
        <v>334.84</v>
      </c>
    </row>
    <row r="95" spans="1:9" ht="15.75" customHeight="1" x14ac:dyDescent="0.3">
      <c r="A95" s="3" t="s">
        <v>68</v>
      </c>
      <c r="B95" s="3" t="s">
        <v>24</v>
      </c>
      <c r="C95" s="3" t="s">
        <v>12</v>
      </c>
      <c r="D95" s="3" t="s">
        <v>22</v>
      </c>
      <c r="E95" s="3">
        <v>1158.94</v>
      </c>
      <c r="F95" s="3">
        <v>19</v>
      </c>
      <c r="G95" s="3">
        <v>0.2</v>
      </c>
      <c r="H95" s="4">
        <v>45553</v>
      </c>
      <c r="I95" s="3">
        <v>231.79</v>
      </c>
    </row>
    <row r="96" spans="1:9" ht="15.75" customHeight="1" x14ac:dyDescent="0.3">
      <c r="A96" s="3" t="s">
        <v>76</v>
      </c>
      <c r="B96" s="3" t="s">
        <v>48</v>
      </c>
      <c r="C96" s="3" t="s">
        <v>21</v>
      </c>
      <c r="D96" s="3" t="s">
        <v>13</v>
      </c>
      <c r="E96" s="3">
        <v>966.3</v>
      </c>
      <c r="F96" s="3">
        <v>2</v>
      </c>
      <c r="G96" s="3">
        <v>0.15</v>
      </c>
      <c r="H96" s="4">
        <v>45557</v>
      </c>
      <c r="I96" s="3">
        <v>328.54</v>
      </c>
    </row>
    <row r="97" spans="1:9" ht="15.75" customHeight="1" x14ac:dyDescent="0.3">
      <c r="A97" s="3" t="s">
        <v>69</v>
      </c>
      <c r="B97" s="3" t="s">
        <v>18</v>
      </c>
      <c r="C97" s="3" t="s">
        <v>21</v>
      </c>
      <c r="D97" s="3" t="s">
        <v>13</v>
      </c>
      <c r="E97" s="3">
        <v>917.48</v>
      </c>
      <c r="F97" s="3">
        <v>6</v>
      </c>
      <c r="G97" s="3">
        <v>0</v>
      </c>
      <c r="H97" s="4">
        <v>45558</v>
      </c>
      <c r="I97" s="3">
        <v>366.99</v>
      </c>
    </row>
    <row r="98" spans="1:9" ht="15.75" customHeight="1" x14ac:dyDescent="0.3">
      <c r="A98" s="3" t="s">
        <v>42</v>
      </c>
      <c r="B98" s="3" t="s">
        <v>62</v>
      </c>
      <c r="C98" s="3" t="s">
        <v>12</v>
      </c>
      <c r="D98" s="3" t="s">
        <v>28</v>
      </c>
      <c r="E98" s="3">
        <v>1172.97</v>
      </c>
      <c r="F98" s="3">
        <v>7</v>
      </c>
      <c r="G98" s="3">
        <v>0.15</v>
      </c>
      <c r="H98" s="4">
        <v>45559</v>
      </c>
      <c r="I98" s="3">
        <v>348.96</v>
      </c>
    </row>
    <row r="99" spans="1:9" ht="15.75" customHeight="1" x14ac:dyDescent="0.3">
      <c r="A99" s="3" t="s">
        <v>58</v>
      </c>
      <c r="B99" s="3" t="s">
        <v>24</v>
      </c>
      <c r="C99" s="3" t="s">
        <v>25</v>
      </c>
      <c r="D99" s="3" t="s">
        <v>16</v>
      </c>
      <c r="E99" s="3">
        <v>1205.82</v>
      </c>
      <c r="F99" s="3">
        <v>11</v>
      </c>
      <c r="G99" s="3">
        <v>0.1</v>
      </c>
      <c r="H99" s="4">
        <v>45559</v>
      </c>
      <c r="I99" s="3">
        <v>542.62</v>
      </c>
    </row>
    <row r="100" spans="1:9" ht="15.75" customHeight="1" x14ac:dyDescent="0.3">
      <c r="A100" s="3" t="s">
        <v>17</v>
      </c>
      <c r="B100" s="3" t="s">
        <v>65</v>
      </c>
      <c r="C100" s="3" t="s">
        <v>12</v>
      </c>
      <c r="D100" s="3" t="s">
        <v>40</v>
      </c>
      <c r="E100" s="3">
        <v>826.93</v>
      </c>
      <c r="F100" s="3">
        <v>10</v>
      </c>
      <c r="G100" s="3">
        <v>0.2</v>
      </c>
      <c r="H100" s="4">
        <v>45564</v>
      </c>
      <c r="I100" s="3">
        <v>297.69</v>
      </c>
    </row>
    <row r="101" spans="1:9" ht="15.75" customHeight="1" x14ac:dyDescent="0.3">
      <c r="A101" s="3" t="s">
        <v>68</v>
      </c>
      <c r="B101" s="3" t="s">
        <v>24</v>
      </c>
      <c r="C101" s="3" t="s">
        <v>35</v>
      </c>
      <c r="D101" s="3" t="s">
        <v>16</v>
      </c>
      <c r="E101" s="3">
        <v>902.19</v>
      </c>
      <c r="F101" s="3">
        <v>12</v>
      </c>
      <c r="G101" s="3">
        <v>0</v>
      </c>
      <c r="H101" s="4">
        <v>45564</v>
      </c>
      <c r="I101" s="3">
        <v>451.1</v>
      </c>
    </row>
    <row r="102" spans="1:9" ht="15.75" customHeight="1" x14ac:dyDescent="0.3">
      <c r="A102" s="3" t="s">
        <v>75</v>
      </c>
      <c r="B102" s="3" t="s">
        <v>39</v>
      </c>
      <c r="C102" s="3" t="s">
        <v>25</v>
      </c>
      <c r="D102" s="3" t="s">
        <v>13</v>
      </c>
      <c r="E102" s="3">
        <v>585.97</v>
      </c>
      <c r="F102" s="3">
        <v>17</v>
      </c>
      <c r="G102" s="3">
        <v>0.1</v>
      </c>
      <c r="H102" s="4">
        <v>45565</v>
      </c>
      <c r="I102" s="3">
        <v>210.95</v>
      </c>
    </row>
    <row r="103" spans="1:9" ht="15.75" customHeight="1" x14ac:dyDescent="0.3">
      <c r="A103" s="3" t="s">
        <v>61</v>
      </c>
      <c r="B103" s="3" t="s">
        <v>27</v>
      </c>
      <c r="C103" s="3" t="s">
        <v>25</v>
      </c>
      <c r="D103" s="3" t="s">
        <v>16</v>
      </c>
      <c r="E103" s="3">
        <v>990.19</v>
      </c>
      <c r="F103" s="3">
        <v>8</v>
      </c>
      <c r="G103" s="3">
        <v>0.1</v>
      </c>
      <c r="H103" s="4">
        <v>45565</v>
      </c>
      <c r="I103" s="3">
        <v>445.59</v>
      </c>
    </row>
    <row r="104" spans="1:9" ht="15.75" customHeight="1" x14ac:dyDescent="0.3">
      <c r="A104" s="3" t="s">
        <v>45</v>
      </c>
      <c r="B104" s="3" t="s">
        <v>57</v>
      </c>
      <c r="C104" s="3" t="s">
        <v>35</v>
      </c>
      <c r="D104" s="3" t="s">
        <v>22</v>
      </c>
      <c r="E104" s="3">
        <v>1014.09</v>
      </c>
      <c r="F104" s="3">
        <v>13</v>
      </c>
      <c r="G104" s="3">
        <v>0.2</v>
      </c>
      <c r="H104" s="4">
        <v>45567</v>
      </c>
      <c r="I104" s="3">
        <v>202.82</v>
      </c>
    </row>
    <row r="105" spans="1:9" ht="15.75" customHeight="1" x14ac:dyDescent="0.3">
      <c r="A105" s="3" t="s">
        <v>14</v>
      </c>
      <c r="B105" s="3" t="s">
        <v>49</v>
      </c>
      <c r="C105" s="3" t="s">
        <v>25</v>
      </c>
      <c r="D105" s="3" t="s">
        <v>22</v>
      </c>
      <c r="E105" s="3">
        <v>925.29</v>
      </c>
      <c r="F105" s="3">
        <v>17</v>
      </c>
      <c r="G105" s="3">
        <v>0</v>
      </c>
      <c r="H105" s="4">
        <v>45570</v>
      </c>
      <c r="I105" s="3">
        <v>231.32</v>
      </c>
    </row>
    <row r="106" spans="1:9" ht="15.75" customHeight="1" x14ac:dyDescent="0.3">
      <c r="A106" s="3" t="s">
        <v>55</v>
      </c>
      <c r="B106" s="3" t="s">
        <v>48</v>
      </c>
      <c r="C106" s="3" t="s">
        <v>19</v>
      </c>
      <c r="D106" s="3" t="s">
        <v>28</v>
      </c>
      <c r="E106" s="3">
        <v>1286.54</v>
      </c>
      <c r="F106" s="3">
        <v>8</v>
      </c>
      <c r="G106" s="3">
        <v>0</v>
      </c>
      <c r="H106" s="4">
        <v>45575</v>
      </c>
      <c r="I106" s="3">
        <v>450.29</v>
      </c>
    </row>
    <row r="107" spans="1:9" ht="15.75" customHeight="1" x14ac:dyDescent="0.3">
      <c r="A107" s="3" t="s">
        <v>38</v>
      </c>
      <c r="B107" s="3" t="s">
        <v>65</v>
      </c>
      <c r="C107" s="3" t="s">
        <v>21</v>
      </c>
      <c r="D107" s="3" t="s">
        <v>13</v>
      </c>
      <c r="E107" s="3">
        <v>961.62</v>
      </c>
      <c r="F107" s="3">
        <v>8</v>
      </c>
      <c r="G107" s="3">
        <v>0.2</v>
      </c>
      <c r="H107" s="4">
        <v>45577</v>
      </c>
      <c r="I107" s="3">
        <v>307.72000000000003</v>
      </c>
    </row>
    <row r="108" spans="1:9" ht="15.75" customHeight="1" x14ac:dyDescent="0.3">
      <c r="A108" s="3" t="s">
        <v>45</v>
      </c>
      <c r="B108" s="3" t="s">
        <v>24</v>
      </c>
      <c r="C108" s="3" t="s">
        <v>19</v>
      </c>
      <c r="D108" s="3" t="s">
        <v>13</v>
      </c>
      <c r="E108" s="3">
        <v>1081.1400000000001</v>
      </c>
      <c r="F108" s="3">
        <v>19</v>
      </c>
      <c r="G108" s="3">
        <v>0.15</v>
      </c>
      <c r="H108" s="4">
        <v>45577</v>
      </c>
      <c r="I108" s="3">
        <v>367.59</v>
      </c>
    </row>
    <row r="109" spans="1:9" ht="15.75" customHeight="1" x14ac:dyDescent="0.3">
      <c r="A109" s="3" t="s">
        <v>59</v>
      </c>
      <c r="B109" s="3" t="s">
        <v>24</v>
      </c>
      <c r="C109" s="3" t="s">
        <v>12</v>
      </c>
      <c r="D109" s="3" t="s">
        <v>16</v>
      </c>
      <c r="E109" s="3">
        <v>1923.66</v>
      </c>
      <c r="F109" s="3">
        <v>9</v>
      </c>
      <c r="G109" s="3">
        <v>0.2</v>
      </c>
      <c r="H109" s="4">
        <v>45580</v>
      </c>
      <c r="I109" s="3">
        <v>769.46</v>
      </c>
    </row>
    <row r="110" spans="1:9" ht="15.75" customHeight="1" x14ac:dyDescent="0.3">
      <c r="A110" s="3" t="s">
        <v>55</v>
      </c>
      <c r="B110" s="3" t="s">
        <v>67</v>
      </c>
      <c r="C110" s="3" t="s">
        <v>35</v>
      </c>
      <c r="D110" s="3" t="s">
        <v>16</v>
      </c>
      <c r="E110" s="3">
        <v>728.71</v>
      </c>
      <c r="F110" s="3">
        <v>14</v>
      </c>
      <c r="G110" s="3">
        <v>0.1</v>
      </c>
      <c r="H110" s="4">
        <v>45581</v>
      </c>
      <c r="I110" s="3">
        <v>327.92</v>
      </c>
    </row>
    <row r="111" spans="1:9" ht="15.75" customHeight="1" x14ac:dyDescent="0.3">
      <c r="A111" s="3" t="s">
        <v>10</v>
      </c>
      <c r="B111" s="3" t="s">
        <v>34</v>
      </c>
      <c r="C111" s="3" t="s">
        <v>35</v>
      </c>
      <c r="D111" s="3" t="s">
        <v>16</v>
      </c>
      <c r="E111" s="3">
        <v>1301.8900000000001</v>
      </c>
      <c r="F111" s="3">
        <v>7</v>
      </c>
      <c r="G111" s="3">
        <v>0.15</v>
      </c>
      <c r="H111" s="4">
        <v>45581</v>
      </c>
      <c r="I111" s="3">
        <v>553.29999999999995</v>
      </c>
    </row>
    <row r="112" spans="1:9" ht="15.75" customHeight="1" x14ac:dyDescent="0.3">
      <c r="A112" s="3" t="s">
        <v>71</v>
      </c>
      <c r="B112" s="3" t="s">
        <v>67</v>
      </c>
      <c r="C112" s="3" t="s">
        <v>19</v>
      </c>
      <c r="D112" s="3" t="s">
        <v>13</v>
      </c>
      <c r="E112" s="3">
        <v>980.18</v>
      </c>
      <c r="F112" s="3">
        <v>16</v>
      </c>
      <c r="G112" s="3">
        <v>0.1</v>
      </c>
      <c r="H112" s="4">
        <v>45582</v>
      </c>
      <c r="I112" s="3">
        <v>352.86</v>
      </c>
    </row>
    <row r="113" spans="1:9" ht="15.75" customHeight="1" x14ac:dyDescent="0.3">
      <c r="A113" s="3" t="s">
        <v>75</v>
      </c>
      <c r="B113" s="3" t="s">
        <v>24</v>
      </c>
      <c r="C113" s="3" t="s">
        <v>12</v>
      </c>
      <c r="D113" s="3" t="s">
        <v>16</v>
      </c>
      <c r="E113" s="3">
        <v>697.57</v>
      </c>
      <c r="F113" s="3">
        <v>17</v>
      </c>
      <c r="G113" s="3">
        <v>0.1</v>
      </c>
      <c r="H113" s="4">
        <v>45584</v>
      </c>
      <c r="I113" s="3">
        <v>313.91000000000003</v>
      </c>
    </row>
    <row r="114" spans="1:9" ht="15.75" customHeight="1" x14ac:dyDescent="0.3">
      <c r="A114" s="3" t="s">
        <v>47</v>
      </c>
      <c r="B114" s="3" t="s">
        <v>72</v>
      </c>
      <c r="C114" s="3" t="s">
        <v>12</v>
      </c>
      <c r="D114" s="3" t="s">
        <v>28</v>
      </c>
      <c r="E114" s="3">
        <v>1193.6099999999999</v>
      </c>
      <c r="F114" s="3">
        <v>1</v>
      </c>
      <c r="G114" s="3">
        <v>0.15</v>
      </c>
      <c r="H114" s="4">
        <v>45584</v>
      </c>
      <c r="I114" s="3">
        <v>355.1</v>
      </c>
    </row>
    <row r="115" spans="1:9" ht="15.75" customHeight="1" x14ac:dyDescent="0.3">
      <c r="A115" s="3" t="s">
        <v>33</v>
      </c>
      <c r="B115" s="3" t="s">
        <v>39</v>
      </c>
      <c r="C115" s="3" t="s">
        <v>21</v>
      </c>
      <c r="D115" s="3" t="s">
        <v>22</v>
      </c>
      <c r="E115" s="3">
        <v>771.02</v>
      </c>
      <c r="F115" s="3">
        <v>1</v>
      </c>
      <c r="G115" s="3">
        <v>0</v>
      </c>
      <c r="H115" s="4">
        <v>45585</v>
      </c>
      <c r="I115" s="3">
        <v>192.76</v>
      </c>
    </row>
    <row r="116" spans="1:9" ht="15.75" customHeight="1" x14ac:dyDescent="0.3">
      <c r="A116" s="3" t="s">
        <v>68</v>
      </c>
      <c r="B116" s="3" t="s">
        <v>70</v>
      </c>
      <c r="C116" s="3" t="s">
        <v>25</v>
      </c>
      <c r="D116" s="3" t="s">
        <v>16</v>
      </c>
      <c r="E116" s="3">
        <v>661.09</v>
      </c>
      <c r="F116" s="3">
        <v>1</v>
      </c>
      <c r="G116" s="3">
        <v>0.2</v>
      </c>
      <c r="H116" s="4">
        <v>45593</v>
      </c>
      <c r="I116" s="3">
        <v>264.44</v>
      </c>
    </row>
    <row r="117" spans="1:9" ht="15.75" customHeight="1" x14ac:dyDescent="0.3">
      <c r="A117" s="3" t="s">
        <v>14</v>
      </c>
      <c r="B117" s="3" t="s">
        <v>56</v>
      </c>
      <c r="C117" s="3" t="s">
        <v>12</v>
      </c>
      <c r="D117" s="3" t="s">
        <v>22</v>
      </c>
      <c r="E117" s="3">
        <v>688.83</v>
      </c>
      <c r="F117" s="3">
        <v>15</v>
      </c>
      <c r="G117" s="3">
        <v>0</v>
      </c>
      <c r="H117" s="4">
        <v>45595</v>
      </c>
      <c r="I117" s="3">
        <v>172.21</v>
      </c>
    </row>
    <row r="118" spans="1:9" ht="15.75" customHeight="1" x14ac:dyDescent="0.3">
      <c r="A118" s="3" t="s">
        <v>74</v>
      </c>
      <c r="B118" s="3" t="s">
        <v>30</v>
      </c>
      <c r="C118" s="3" t="s">
        <v>35</v>
      </c>
      <c r="D118" s="3" t="s">
        <v>13</v>
      </c>
      <c r="E118" s="3">
        <v>1249.0999999999999</v>
      </c>
      <c r="F118" s="3">
        <v>4</v>
      </c>
      <c r="G118" s="3">
        <v>0.05</v>
      </c>
      <c r="H118" s="4">
        <v>45597</v>
      </c>
      <c r="I118" s="3">
        <v>474.66</v>
      </c>
    </row>
    <row r="119" spans="1:9" ht="15.75" customHeight="1" x14ac:dyDescent="0.3">
      <c r="A119" s="3" t="s">
        <v>45</v>
      </c>
      <c r="B119" s="3" t="s">
        <v>24</v>
      </c>
      <c r="C119" s="3" t="s">
        <v>19</v>
      </c>
      <c r="D119" s="3" t="s">
        <v>40</v>
      </c>
      <c r="E119" s="3">
        <v>1014.22</v>
      </c>
      <c r="F119" s="3">
        <v>14</v>
      </c>
      <c r="G119" s="3">
        <v>0.05</v>
      </c>
      <c r="H119" s="4">
        <v>45599</v>
      </c>
      <c r="I119" s="3">
        <v>433.58</v>
      </c>
    </row>
    <row r="120" spans="1:9" ht="15.75" customHeight="1" x14ac:dyDescent="0.3">
      <c r="A120" s="3" t="s">
        <v>55</v>
      </c>
      <c r="B120" s="3" t="s">
        <v>49</v>
      </c>
      <c r="C120" s="3" t="s">
        <v>19</v>
      </c>
      <c r="D120" s="3" t="s">
        <v>13</v>
      </c>
      <c r="E120" s="3">
        <v>1010.58</v>
      </c>
      <c r="F120" s="3">
        <v>2</v>
      </c>
      <c r="G120" s="3">
        <v>0.15</v>
      </c>
      <c r="H120" s="4">
        <v>45605</v>
      </c>
      <c r="I120" s="3">
        <v>343.6</v>
      </c>
    </row>
    <row r="121" spans="1:9" ht="15.75" customHeight="1" x14ac:dyDescent="0.3">
      <c r="A121" s="3" t="s">
        <v>31</v>
      </c>
      <c r="B121" s="3" t="s">
        <v>60</v>
      </c>
      <c r="C121" s="3" t="s">
        <v>25</v>
      </c>
      <c r="D121" s="3" t="s">
        <v>28</v>
      </c>
      <c r="E121" s="3">
        <v>957.29</v>
      </c>
      <c r="F121" s="3">
        <v>4</v>
      </c>
      <c r="G121" s="3">
        <v>0.05</v>
      </c>
      <c r="H121" s="4">
        <v>45605</v>
      </c>
      <c r="I121" s="3">
        <v>318.3</v>
      </c>
    </row>
    <row r="122" spans="1:9" ht="15.75" customHeight="1" x14ac:dyDescent="0.3">
      <c r="A122" s="3" t="s">
        <v>29</v>
      </c>
      <c r="B122" s="3" t="s">
        <v>46</v>
      </c>
      <c r="C122" s="3" t="s">
        <v>25</v>
      </c>
      <c r="D122" s="3" t="s">
        <v>28</v>
      </c>
      <c r="E122" s="3">
        <v>1077.92</v>
      </c>
      <c r="F122" s="3">
        <v>3</v>
      </c>
      <c r="G122" s="3">
        <v>0.05</v>
      </c>
      <c r="H122" s="4">
        <v>45608</v>
      </c>
      <c r="I122" s="3">
        <v>358.41</v>
      </c>
    </row>
    <row r="123" spans="1:9" ht="15.75" customHeight="1" x14ac:dyDescent="0.3">
      <c r="A123" s="3" t="s">
        <v>53</v>
      </c>
      <c r="B123" s="3" t="s">
        <v>51</v>
      </c>
      <c r="C123" s="3" t="s">
        <v>21</v>
      </c>
      <c r="D123" s="3" t="s">
        <v>16</v>
      </c>
      <c r="E123" s="3">
        <v>1163.01</v>
      </c>
      <c r="F123" s="3">
        <v>5</v>
      </c>
      <c r="G123" s="3">
        <v>0</v>
      </c>
      <c r="H123" s="4">
        <v>45611</v>
      </c>
      <c r="I123" s="3">
        <v>581.5</v>
      </c>
    </row>
    <row r="124" spans="1:9" ht="15.75" customHeight="1" x14ac:dyDescent="0.3">
      <c r="A124" s="3" t="s">
        <v>55</v>
      </c>
      <c r="B124" s="3" t="s">
        <v>46</v>
      </c>
      <c r="C124" s="3" t="s">
        <v>19</v>
      </c>
      <c r="D124" s="3" t="s">
        <v>40</v>
      </c>
      <c r="E124" s="3">
        <v>1014.56</v>
      </c>
      <c r="F124" s="3">
        <v>10</v>
      </c>
      <c r="G124" s="3">
        <v>0.1</v>
      </c>
      <c r="H124" s="4">
        <v>45612</v>
      </c>
      <c r="I124" s="3">
        <v>410.9</v>
      </c>
    </row>
    <row r="125" spans="1:9" ht="15.75" customHeight="1" x14ac:dyDescent="0.3">
      <c r="A125" s="3" t="s">
        <v>10</v>
      </c>
      <c r="B125" s="3" t="s">
        <v>18</v>
      </c>
      <c r="C125" s="3" t="s">
        <v>21</v>
      </c>
      <c r="D125" s="3" t="s">
        <v>22</v>
      </c>
      <c r="E125" s="3">
        <v>718.04</v>
      </c>
      <c r="F125" s="3">
        <v>14</v>
      </c>
      <c r="G125" s="3">
        <v>0</v>
      </c>
      <c r="H125" s="4">
        <v>45613</v>
      </c>
      <c r="I125" s="3">
        <v>179.51</v>
      </c>
    </row>
    <row r="126" spans="1:9" ht="15.75" customHeight="1" x14ac:dyDescent="0.3">
      <c r="A126" s="3" t="s">
        <v>73</v>
      </c>
      <c r="B126" s="3" t="s">
        <v>18</v>
      </c>
      <c r="C126" s="3" t="s">
        <v>35</v>
      </c>
      <c r="D126" s="3" t="s">
        <v>16</v>
      </c>
      <c r="E126" s="3">
        <v>1277.8499999999999</v>
      </c>
      <c r="F126" s="3">
        <v>18</v>
      </c>
      <c r="G126" s="3">
        <v>0.2</v>
      </c>
      <c r="H126" s="4">
        <v>45613</v>
      </c>
      <c r="I126" s="3">
        <v>511.14</v>
      </c>
    </row>
    <row r="127" spans="1:9" ht="15.75" customHeight="1" x14ac:dyDescent="0.3">
      <c r="A127" s="3" t="s">
        <v>71</v>
      </c>
      <c r="B127" s="3" t="s">
        <v>24</v>
      </c>
      <c r="C127" s="3" t="s">
        <v>25</v>
      </c>
      <c r="D127" s="3" t="s">
        <v>22</v>
      </c>
      <c r="E127" s="3">
        <v>706.73</v>
      </c>
      <c r="F127" s="3">
        <v>1</v>
      </c>
      <c r="G127" s="3">
        <v>0.15</v>
      </c>
      <c r="H127" s="4">
        <v>45613</v>
      </c>
      <c r="I127" s="3">
        <v>150.18</v>
      </c>
    </row>
    <row r="128" spans="1:9" ht="15.75" customHeight="1" x14ac:dyDescent="0.3">
      <c r="A128" s="3" t="s">
        <v>66</v>
      </c>
      <c r="B128" s="3" t="s">
        <v>51</v>
      </c>
      <c r="C128" s="3" t="s">
        <v>19</v>
      </c>
      <c r="D128" s="3" t="s">
        <v>22</v>
      </c>
      <c r="E128" s="3">
        <v>1410.59</v>
      </c>
      <c r="F128" s="3">
        <v>15</v>
      </c>
      <c r="G128" s="3">
        <v>0</v>
      </c>
      <c r="H128" s="4">
        <v>45615</v>
      </c>
      <c r="I128" s="3">
        <v>352.65</v>
      </c>
    </row>
    <row r="129" spans="1:9" ht="15.75" customHeight="1" x14ac:dyDescent="0.3">
      <c r="A129" s="3" t="s">
        <v>33</v>
      </c>
      <c r="B129" s="3" t="s">
        <v>62</v>
      </c>
      <c r="C129" s="3" t="s">
        <v>21</v>
      </c>
      <c r="D129" s="3" t="s">
        <v>28</v>
      </c>
      <c r="E129" s="3">
        <v>1350.33</v>
      </c>
      <c r="F129" s="3">
        <v>10</v>
      </c>
      <c r="G129" s="3">
        <v>0</v>
      </c>
      <c r="H129" s="4">
        <v>45615</v>
      </c>
      <c r="I129" s="3">
        <v>472.62</v>
      </c>
    </row>
    <row r="130" spans="1:9" ht="15.75" customHeight="1" x14ac:dyDescent="0.3">
      <c r="A130" s="3" t="s">
        <v>42</v>
      </c>
      <c r="B130" s="3" t="s">
        <v>46</v>
      </c>
      <c r="C130" s="3" t="s">
        <v>19</v>
      </c>
      <c r="D130" s="3" t="s">
        <v>22</v>
      </c>
      <c r="E130" s="3">
        <v>919.18</v>
      </c>
      <c r="F130" s="3">
        <v>4</v>
      </c>
      <c r="G130" s="3">
        <v>0.15</v>
      </c>
      <c r="H130" s="4">
        <v>45615</v>
      </c>
      <c r="I130" s="3">
        <v>195.33</v>
      </c>
    </row>
    <row r="131" spans="1:9" ht="15.75" customHeight="1" x14ac:dyDescent="0.3">
      <c r="A131" s="3" t="s">
        <v>75</v>
      </c>
      <c r="B131" s="3" t="s">
        <v>24</v>
      </c>
      <c r="C131" s="3" t="s">
        <v>12</v>
      </c>
      <c r="D131" s="3" t="s">
        <v>22</v>
      </c>
      <c r="E131" s="3">
        <v>258.51</v>
      </c>
      <c r="F131" s="3">
        <v>19</v>
      </c>
      <c r="G131" s="3">
        <v>0</v>
      </c>
      <c r="H131" s="4">
        <v>45616</v>
      </c>
      <c r="I131" s="3">
        <v>64.63</v>
      </c>
    </row>
    <row r="132" spans="1:9" ht="15.75" customHeight="1" x14ac:dyDescent="0.3">
      <c r="A132" s="3" t="s">
        <v>64</v>
      </c>
      <c r="B132" s="3" t="s">
        <v>62</v>
      </c>
      <c r="C132" s="3" t="s">
        <v>19</v>
      </c>
      <c r="D132" s="3" t="s">
        <v>13</v>
      </c>
      <c r="E132" s="3">
        <v>1213.48</v>
      </c>
      <c r="F132" s="3">
        <v>5</v>
      </c>
      <c r="G132" s="3">
        <v>0.05</v>
      </c>
      <c r="H132" s="4">
        <v>45616</v>
      </c>
      <c r="I132" s="3">
        <v>461.12</v>
      </c>
    </row>
    <row r="133" spans="1:9" ht="15.75" customHeight="1" x14ac:dyDescent="0.3">
      <c r="A133" s="3" t="s">
        <v>58</v>
      </c>
      <c r="B133" s="3" t="s">
        <v>39</v>
      </c>
      <c r="C133" s="3" t="s">
        <v>35</v>
      </c>
      <c r="D133" s="3" t="s">
        <v>13</v>
      </c>
      <c r="E133" s="3">
        <v>1150.28</v>
      </c>
      <c r="F133" s="3">
        <v>8</v>
      </c>
      <c r="G133" s="3">
        <v>0.05</v>
      </c>
      <c r="H133" s="4">
        <v>45622</v>
      </c>
      <c r="I133" s="3">
        <v>437.11</v>
      </c>
    </row>
    <row r="134" spans="1:9" ht="15.75" customHeight="1" x14ac:dyDescent="0.3">
      <c r="A134" s="3" t="s">
        <v>38</v>
      </c>
      <c r="B134" s="3" t="s">
        <v>72</v>
      </c>
      <c r="C134" s="3" t="s">
        <v>21</v>
      </c>
      <c r="D134" s="3" t="s">
        <v>28</v>
      </c>
      <c r="E134" s="3">
        <v>853.86</v>
      </c>
      <c r="F134" s="3">
        <v>8</v>
      </c>
      <c r="G134" s="3">
        <v>0.1</v>
      </c>
      <c r="H134" s="4">
        <v>45622</v>
      </c>
      <c r="I134" s="3">
        <v>268.97000000000003</v>
      </c>
    </row>
    <row r="135" spans="1:9" ht="15.75" customHeight="1" x14ac:dyDescent="0.3">
      <c r="A135" s="3" t="s">
        <v>76</v>
      </c>
      <c r="B135" s="3" t="s">
        <v>46</v>
      </c>
      <c r="C135" s="3" t="s">
        <v>21</v>
      </c>
      <c r="D135" s="3" t="s">
        <v>22</v>
      </c>
      <c r="E135" s="3">
        <v>1061.04</v>
      </c>
      <c r="F135" s="3">
        <v>1</v>
      </c>
      <c r="G135" s="3">
        <v>0</v>
      </c>
      <c r="H135" s="4">
        <v>45624</v>
      </c>
      <c r="I135" s="3">
        <v>265.26</v>
      </c>
    </row>
    <row r="136" spans="1:9" ht="15.75" customHeight="1" x14ac:dyDescent="0.3">
      <c r="A136" s="3" t="s">
        <v>29</v>
      </c>
      <c r="B136" s="3" t="s">
        <v>44</v>
      </c>
      <c r="C136" s="3" t="s">
        <v>12</v>
      </c>
      <c r="D136" s="3" t="s">
        <v>22</v>
      </c>
      <c r="E136" s="3">
        <v>894.55</v>
      </c>
      <c r="F136" s="3">
        <v>19</v>
      </c>
      <c r="G136" s="3">
        <v>0.2</v>
      </c>
      <c r="H136" s="4">
        <v>45625</v>
      </c>
      <c r="I136" s="3">
        <v>178.91</v>
      </c>
    </row>
    <row r="137" spans="1:9" ht="15.75" customHeight="1" x14ac:dyDescent="0.3">
      <c r="A137" s="3" t="s">
        <v>26</v>
      </c>
      <c r="B137" s="3" t="s">
        <v>39</v>
      </c>
      <c r="C137" s="3" t="s">
        <v>25</v>
      </c>
      <c r="D137" s="3" t="s">
        <v>40</v>
      </c>
      <c r="E137" s="3">
        <v>833.91</v>
      </c>
      <c r="F137" s="3">
        <v>3</v>
      </c>
      <c r="G137" s="3">
        <v>0.05</v>
      </c>
      <c r="H137" s="4">
        <v>45626</v>
      </c>
      <c r="I137" s="3">
        <v>356.5</v>
      </c>
    </row>
    <row r="138" spans="1:9" ht="15.75" customHeight="1" x14ac:dyDescent="0.3">
      <c r="A138" s="3" t="s">
        <v>59</v>
      </c>
      <c r="B138" s="3" t="s">
        <v>72</v>
      </c>
      <c r="C138" s="3" t="s">
        <v>12</v>
      </c>
      <c r="D138" s="3" t="s">
        <v>28</v>
      </c>
      <c r="E138" s="3">
        <v>820.19</v>
      </c>
      <c r="F138" s="3">
        <v>4</v>
      </c>
      <c r="G138" s="3">
        <v>0.2</v>
      </c>
      <c r="H138" s="4">
        <v>45630</v>
      </c>
      <c r="I138" s="3">
        <v>229.65</v>
      </c>
    </row>
    <row r="139" spans="1:9" ht="15.75" customHeight="1" x14ac:dyDescent="0.3">
      <c r="A139" s="3" t="s">
        <v>59</v>
      </c>
      <c r="B139" s="3" t="s">
        <v>39</v>
      </c>
      <c r="C139" s="3" t="s">
        <v>35</v>
      </c>
      <c r="D139" s="3" t="s">
        <v>22</v>
      </c>
      <c r="E139" s="3">
        <v>511.74</v>
      </c>
      <c r="F139" s="3">
        <v>8</v>
      </c>
      <c r="G139" s="3">
        <v>0.05</v>
      </c>
      <c r="H139" s="4">
        <v>45631</v>
      </c>
      <c r="I139" s="3">
        <v>121.54</v>
      </c>
    </row>
    <row r="140" spans="1:9" ht="15.75" customHeight="1" x14ac:dyDescent="0.3">
      <c r="A140" s="3" t="s">
        <v>66</v>
      </c>
      <c r="B140" s="3" t="s">
        <v>62</v>
      </c>
      <c r="C140" s="3" t="s">
        <v>21</v>
      </c>
      <c r="D140" s="3" t="s">
        <v>28</v>
      </c>
      <c r="E140" s="3">
        <v>806.03</v>
      </c>
      <c r="F140" s="3">
        <v>19</v>
      </c>
      <c r="G140" s="3">
        <v>0.05</v>
      </c>
      <c r="H140" s="4">
        <v>45638</v>
      </c>
      <c r="I140" s="3">
        <v>268</v>
      </c>
    </row>
    <row r="141" spans="1:9" ht="15.75" customHeight="1" x14ac:dyDescent="0.3">
      <c r="A141" s="3" t="s">
        <v>29</v>
      </c>
      <c r="B141" s="3" t="s">
        <v>27</v>
      </c>
      <c r="C141" s="3" t="s">
        <v>35</v>
      </c>
      <c r="D141" s="3" t="s">
        <v>28</v>
      </c>
      <c r="E141" s="3">
        <v>1432.47</v>
      </c>
      <c r="F141" s="3">
        <v>16</v>
      </c>
      <c r="G141" s="3">
        <v>0.15</v>
      </c>
      <c r="H141" s="4">
        <v>45640</v>
      </c>
      <c r="I141" s="3">
        <v>426.16</v>
      </c>
    </row>
    <row r="142" spans="1:9" ht="15.75" customHeight="1" x14ac:dyDescent="0.3">
      <c r="A142" s="3" t="s">
        <v>75</v>
      </c>
      <c r="B142" s="3" t="s">
        <v>30</v>
      </c>
      <c r="C142" s="3" t="s">
        <v>35</v>
      </c>
      <c r="D142" s="3" t="s">
        <v>22</v>
      </c>
      <c r="E142" s="3">
        <v>1488.58</v>
      </c>
      <c r="F142" s="3">
        <v>10</v>
      </c>
      <c r="G142" s="3">
        <v>0.15</v>
      </c>
      <c r="H142" s="4">
        <v>45640</v>
      </c>
      <c r="I142" s="3">
        <v>316.32</v>
      </c>
    </row>
    <row r="143" spans="1:9" ht="15.75" customHeight="1" x14ac:dyDescent="0.3">
      <c r="A143" s="3" t="s">
        <v>31</v>
      </c>
      <c r="B143" s="3" t="s">
        <v>67</v>
      </c>
      <c r="C143" s="3" t="s">
        <v>19</v>
      </c>
      <c r="D143" s="3" t="s">
        <v>13</v>
      </c>
      <c r="E143" s="3">
        <v>1231.26</v>
      </c>
      <c r="F143" s="3">
        <v>9</v>
      </c>
      <c r="G143" s="3">
        <v>0</v>
      </c>
      <c r="H143" s="4">
        <v>45646</v>
      </c>
      <c r="I143" s="3">
        <v>492.5</v>
      </c>
    </row>
    <row r="144" spans="1:9" ht="15.75" customHeight="1" x14ac:dyDescent="0.3">
      <c r="A144" s="3" t="s">
        <v>31</v>
      </c>
      <c r="B144" s="3" t="s">
        <v>44</v>
      </c>
      <c r="C144" s="3" t="s">
        <v>12</v>
      </c>
      <c r="D144" s="3" t="s">
        <v>22</v>
      </c>
      <c r="E144" s="3">
        <v>1161.67</v>
      </c>
      <c r="F144" s="3">
        <v>19</v>
      </c>
      <c r="G144" s="3">
        <v>0.2</v>
      </c>
      <c r="H144" s="4">
        <v>45647</v>
      </c>
      <c r="I144" s="3">
        <v>232.33</v>
      </c>
    </row>
    <row r="145" spans="1:9" ht="15.75" customHeight="1" x14ac:dyDescent="0.3">
      <c r="A145" s="3" t="s">
        <v>50</v>
      </c>
      <c r="B145" s="3" t="s">
        <v>46</v>
      </c>
      <c r="C145" s="3" t="s">
        <v>35</v>
      </c>
      <c r="D145" s="3" t="s">
        <v>40</v>
      </c>
      <c r="E145" s="3">
        <v>388.23</v>
      </c>
      <c r="F145" s="3">
        <v>16</v>
      </c>
      <c r="G145" s="3">
        <v>0.05</v>
      </c>
      <c r="H145" s="4">
        <v>45650</v>
      </c>
      <c r="I145" s="3">
        <v>165.97</v>
      </c>
    </row>
    <row r="146" spans="1:9" ht="15.75" customHeight="1" x14ac:dyDescent="0.3">
      <c r="A146" s="3" t="s">
        <v>73</v>
      </c>
      <c r="B146" s="3" t="s">
        <v>32</v>
      </c>
      <c r="C146" s="3" t="s">
        <v>25</v>
      </c>
      <c r="D146" s="3" t="s">
        <v>16</v>
      </c>
      <c r="E146" s="3">
        <v>1589.42</v>
      </c>
      <c r="F146" s="3">
        <v>6</v>
      </c>
      <c r="G146" s="3">
        <v>0.15</v>
      </c>
      <c r="H146" s="4">
        <v>45651</v>
      </c>
      <c r="I146" s="3">
        <v>675.5</v>
      </c>
    </row>
    <row r="147" spans="1:9" ht="15.75" customHeight="1" x14ac:dyDescent="0.3">
      <c r="A147" s="3" t="s">
        <v>29</v>
      </c>
      <c r="B147" s="3" t="s">
        <v>72</v>
      </c>
      <c r="C147" s="3" t="s">
        <v>25</v>
      </c>
      <c r="D147" s="3" t="s">
        <v>16</v>
      </c>
      <c r="E147" s="3">
        <v>336.66</v>
      </c>
      <c r="F147" s="3">
        <v>13</v>
      </c>
      <c r="G147" s="3">
        <v>0.2</v>
      </c>
      <c r="H147" s="4">
        <v>45651</v>
      </c>
      <c r="I147" s="3">
        <v>134.66</v>
      </c>
    </row>
    <row r="148" spans="1:9" ht="15.75" customHeight="1" x14ac:dyDescent="0.3">
      <c r="A148" s="3" t="s">
        <v>50</v>
      </c>
      <c r="B148" s="3" t="s">
        <v>24</v>
      </c>
      <c r="C148" s="3" t="s">
        <v>12</v>
      </c>
      <c r="D148" s="3" t="s">
        <v>13</v>
      </c>
      <c r="E148" s="3">
        <v>1353.79</v>
      </c>
      <c r="F148" s="3">
        <v>14</v>
      </c>
      <c r="G148" s="3">
        <v>0.1</v>
      </c>
      <c r="H148" s="4">
        <v>45656</v>
      </c>
      <c r="I148" s="3">
        <v>487.36</v>
      </c>
    </row>
    <row r="149" spans="1:9" ht="15.75" customHeight="1" x14ac:dyDescent="0.3">
      <c r="A149" s="3" t="s">
        <v>64</v>
      </c>
      <c r="B149" s="3" t="s">
        <v>70</v>
      </c>
      <c r="C149" s="3" t="s">
        <v>35</v>
      </c>
      <c r="D149" s="3" t="s">
        <v>16</v>
      </c>
      <c r="E149" s="3">
        <v>662.61</v>
      </c>
      <c r="F149" s="3">
        <v>11</v>
      </c>
      <c r="G149" s="3">
        <v>0.05</v>
      </c>
      <c r="H149" s="4">
        <v>45658</v>
      </c>
      <c r="I149" s="3">
        <v>314.74</v>
      </c>
    </row>
    <row r="150" spans="1:9" ht="15.75" customHeight="1" x14ac:dyDescent="0.3">
      <c r="A150" s="3" t="s">
        <v>53</v>
      </c>
      <c r="B150" s="3" t="s">
        <v>49</v>
      </c>
      <c r="C150" s="3" t="s">
        <v>25</v>
      </c>
      <c r="D150" s="3" t="s">
        <v>40</v>
      </c>
      <c r="E150" s="3">
        <v>309.42</v>
      </c>
      <c r="F150" s="3">
        <v>1</v>
      </c>
      <c r="G150" s="3">
        <v>0.2</v>
      </c>
      <c r="H150" s="4">
        <v>45658</v>
      </c>
      <c r="I150" s="3">
        <v>111.39</v>
      </c>
    </row>
    <row r="151" spans="1:9" ht="15.75" customHeight="1" x14ac:dyDescent="0.3">
      <c r="A151" s="3" t="s">
        <v>64</v>
      </c>
      <c r="B151" s="3" t="s">
        <v>30</v>
      </c>
      <c r="C151" s="3" t="s">
        <v>25</v>
      </c>
      <c r="D151" s="3" t="s">
        <v>13</v>
      </c>
      <c r="E151" s="3">
        <v>884.63</v>
      </c>
      <c r="F151" s="3">
        <v>18</v>
      </c>
      <c r="G151" s="3">
        <v>0.1</v>
      </c>
      <c r="H151" s="4">
        <v>45659</v>
      </c>
      <c r="I151" s="3">
        <v>318.47000000000003</v>
      </c>
    </row>
    <row r="152" spans="1:9" ht="15.75" customHeight="1" x14ac:dyDescent="0.3">
      <c r="A152" s="3" t="s">
        <v>53</v>
      </c>
      <c r="B152" s="3" t="s">
        <v>24</v>
      </c>
      <c r="C152" s="3" t="s">
        <v>35</v>
      </c>
      <c r="D152" s="3" t="s">
        <v>40</v>
      </c>
      <c r="E152" s="3">
        <v>745.05</v>
      </c>
      <c r="F152" s="3">
        <v>10</v>
      </c>
      <c r="G152" s="3">
        <v>0.1</v>
      </c>
      <c r="H152" s="4">
        <v>45660</v>
      </c>
      <c r="I152" s="3">
        <v>301.75</v>
      </c>
    </row>
    <row r="153" spans="1:9" ht="15.75" customHeight="1" x14ac:dyDescent="0.3">
      <c r="A153" s="3" t="s">
        <v>61</v>
      </c>
      <c r="B153" s="3" t="s">
        <v>18</v>
      </c>
      <c r="C153" s="3" t="s">
        <v>21</v>
      </c>
      <c r="D153" s="3" t="s">
        <v>16</v>
      </c>
      <c r="E153" s="3">
        <v>870.23</v>
      </c>
      <c r="F153" s="3">
        <v>5</v>
      </c>
      <c r="G153" s="3">
        <v>0.05</v>
      </c>
      <c r="H153" s="4">
        <v>45660</v>
      </c>
      <c r="I153" s="3">
        <v>413.36</v>
      </c>
    </row>
    <row r="154" spans="1:9" ht="15.75" customHeight="1" x14ac:dyDescent="0.3">
      <c r="A154" s="3" t="s">
        <v>36</v>
      </c>
      <c r="B154" s="3" t="s">
        <v>30</v>
      </c>
      <c r="C154" s="3" t="s">
        <v>12</v>
      </c>
      <c r="D154" s="3" t="s">
        <v>28</v>
      </c>
      <c r="E154" s="3">
        <v>862.19</v>
      </c>
      <c r="F154" s="3">
        <v>18</v>
      </c>
      <c r="G154" s="3">
        <v>0.05</v>
      </c>
      <c r="H154" s="4">
        <v>45663</v>
      </c>
      <c r="I154" s="3">
        <v>286.68</v>
      </c>
    </row>
    <row r="155" spans="1:9" ht="15.75" customHeight="1" x14ac:dyDescent="0.3">
      <c r="A155" s="3" t="s">
        <v>74</v>
      </c>
      <c r="B155" s="3" t="s">
        <v>60</v>
      </c>
      <c r="C155" s="3" t="s">
        <v>25</v>
      </c>
      <c r="D155" s="3" t="s">
        <v>16</v>
      </c>
      <c r="E155" s="3">
        <v>1171.18</v>
      </c>
      <c r="F155" s="3">
        <v>19</v>
      </c>
      <c r="G155" s="3">
        <v>0.05</v>
      </c>
      <c r="H155" s="4">
        <v>45667</v>
      </c>
      <c r="I155" s="3">
        <v>556.30999999999995</v>
      </c>
    </row>
    <row r="156" spans="1:9" ht="15.75" customHeight="1" x14ac:dyDescent="0.3">
      <c r="A156" s="3" t="s">
        <v>59</v>
      </c>
      <c r="B156" s="3" t="s">
        <v>15</v>
      </c>
      <c r="C156" s="3" t="s">
        <v>21</v>
      </c>
      <c r="D156" s="3" t="s">
        <v>28</v>
      </c>
      <c r="E156" s="3">
        <v>1054.56</v>
      </c>
      <c r="F156" s="3">
        <v>11</v>
      </c>
      <c r="G156" s="3">
        <v>0.1</v>
      </c>
      <c r="H156" s="4">
        <v>45669</v>
      </c>
      <c r="I156" s="3">
        <v>332.19</v>
      </c>
    </row>
    <row r="157" spans="1:9" ht="15.75" customHeight="1" x14ac:dyDescent="0.3">
      <c r="A157" s="3" t="s">
        <v>59</v>
      </c>
      <c r="B157" s="3" t="s">
        <v>24</v>
      </c>
      <c r="C157" s="3" t="s">
        <v>25</v>
      </c>
      <c r="D157" s="3" t="s">
        <v>22</v>
      </c>
      <c r="E157" s="3">
        <v>1681.21</v>
      </c>
      <c r="F157" s="3">
        <v>5</v>
      </c>
      <c r="G157" s="3">
        <v>0.2</v>
      </c>
      <c r="H157" s="4">
        <v>45670</v>
      </c>
      <c r="I157" s="3">
        <v>336.24</v>
      </c>
    </row>
    <row r="158" spans="1:9" ht="15.75" customHeight="1" x14ac:dyDescent="0.3">
      <c r="A158" s="3" t="s">
        <v>59</v>
      </c>
      <c r="B158" s="3" t="s">
        <v>37</v>
      </c>
      <c r="C158" s="3" t="s">
        <v>12</v>
      </c>
      <c r="D158" s="3" t="s">
        <v>16</v>
      </c>
      <c r="E158" s="3">
        <v>379.77</v>
      </c>
      <c r="F158" s="3">
        <v>9</v>
      </c>
      <c r="G158" s="3">
        <v>0.05</v>
      </c>
      <c r="H158" s="4">
        <v>45673</v>
      </c>
      <c r="I158" s="3">
        <v>180.39</v>
      </c>
    </row>
    <row r="159" spans="1:9" ht="15.75" customHeight="1" x14ac:dyDescent="0.3">
      <c r="A159" s="3" t="s">
        <v>45</v>
      </c>
      <c r="B159" s="3" t="s">
        <v>46</v>
      </c>
      <c r="C159" s="3" t="s">
        <v>35</v>
      </c>
      <c r="D159" s="3" t="s">
        <v>16</v>
      </c>
      <c r="E159" s="3">
        <v>1076.33</v>
      </c>
      <c r="F159" s="3">
        <v>2</v>
      </c>
      <c r="G159" s="3">
        <v>0.1</v>
      </c>
      <c r="H159" s="4">
        <v>45674</v>
      </c>
      <c r="I159" s="3">
        <v>484.35</v>
      </c>
    </row>
    <row r="160" spans="1:9" ht="15.75" customHeight="1" x14ac:dyDescent="0.3">
      <c r="A160" s="3" t="s">
        <v>45</v>
      </c>
      <c r="B160" s="3" t="s">
        <v>32</v>
      </c>
      <c r="C160" s="3" t="s">
        <v>35</v>
      </c>
      <c r="D160" s="3" t="s">
        <v>40</v>
      </c>
      <c r="E160" s="3">
        <v>1250.71</v>
      </c>
      <c r="F160" s="3">
        <v>7</v>
      </c>
      <c r="G160" s="3">
        <v>0</v>
      </c>
      <c r="H160" s="4">
        <v>45674</v>
      </c>
      <c r="I160" s="3">
        <v>562.82000000000005</v>
      </c>
    </row>
    <row r="161" spans="1:9" ht="15.75" customHeight="1" x14ac:dyDescent="0.3">
      <c r="A161" s="3" t="s">
        <v>41</v>
      </c>
      <c r="B161" s="3" t="s">
        <v>18</v>
      </c>
      <c r="C161" s="3" t="s">
        <v>21</v>
      </c>
      <c r="D161" s="3" t="s">
        <v>16</v>
      </c>
      <c r="E161" s="3">
        <v>1118.3399999999999</v>
      </c>
      <c r="F161" s="3">
        <v>6</v>
      </c>
      <c r="G161" s="3">
        <v>0.2</v>
      </c>
      <c r="H161" s="4">
        <v>45674</v>
      </c>
      <c r="I161" s="3">
        <v>447.34</v>
      </c>
    </row>
    <row r="162" spans="1:9" ht="15.75" customHeight="1" x14ac:dyDescent="0.3">
      <c r="A162" s="3" t="s">
        <v>71</v>
      </c>
      <c r="B162" s="3" t="s">
        <v>54</v>
      </c>
      <c r="C162" s="3" t="s">
        <v>25</v>
      </c>
      <c r="D162" s="3" t="s">
        <v>16</v>
      </c>
      <c r="E162" s="3">
        <v>1622.62</v>
      </c>
      <c r="F162" s="3">
        <v>12</v>
      </c>
      <c r="G162" s="3">
        <v>0.2</v>
      </c>
      <c r="H162" s="4">
        <v>45677</v>
      </c>
      <c r="I162" s="3">
        <v>649.04999999999995</v>
      </c>
    </row>
    <row r="163" spans="1:9" ht="15.75" customHeight="1" x14ac:dyDescent="0.3">
      <c r="A163" s="3" t="s">
        <v>76</v>
      </c>
      <c r="B163" s="3" t="s">
        <v>49</v>
      </c>
      <c r="C163" s="3" t="s">
        <v>25</v>
      </c>
      <c r="D163" s="3" t="s">
        <v>13</v>
      </c>
      <c r="E163" s="3">
        <v>640.64</v>
      </c>
      <c r="F163" s="3">
        <v>11</v>
      </c>
      <c r="G163" s="3">
        <v>0.2</v>
      </c>
      <c r="H163" s="4">
        <v>45678</v>
      </c>
      <c r="I163" s="3">
        <v>205</v>
      </c>
    </row>
    <row r="164" spans="1:9" ht="15.75" customHeight="1" x14ac:dyDescent="0.3">
      <c r="A164" s="3" t="s">
        <v>23</v>
      </c>
      <c r="B164" s="3" t="s">
        <v>44</v>
      </c>
      <c r="C164" s="3" t="s">
        <v>12</v>
      </c>
      <c r="D164" s="3" t="s">
        <v>16</v>
      </c>
      <c r="E164" s="3">
        <v>585.16</v>
      </c>
      <c r="F164" s="3">
        <v>17</v>
      </c>
      <c r="G164" s="3">
        <v>0.1</v>
      </c>
      <c r="H164" s="4">
        <v>45684</v>
      </c>
      <c r="I164" s="3">
        <v>263.32</v>
      </c>
    </row>
    <row r="165" spans="1:9" ht="15.75" customHeight="1" x14ac:dyDescent="0.3">
      <c r="A165" s="3" t="s">
        <v>23</v>
      </c>
      <c r="B165" s="3" t="s">
        <v>32</v>
      </c>
      <c r="C165" s="3" t="s">
        <v>19</v>
      </c>
      <c r="D165" s="3" t="s">
        <v>16</v>
      </c>
      <c r="E165" s="3">
        <v>1109.98</v>
      </c>
      <c r="F165" s="3">
        <v>5</v>
      </c>
      <c r="G165" s="3">
        <v>0.2</v>
      </c>
      <c r="H165" s="4">
        <v>45690</v>
      </c>
      <c r="I165" s="3">
        <v>443.99</v>
      </c>
    </row>
    <row r="166" spans="1:9" ht="15.75" customHeight="1" x14ac:dyDescent="0.3">
      <c r="A166" s="3" t="s">
        <v>59</v>
      </c>
      <c r="B166" s="3" t="s">
        <v>46</v>
      </c>
      <c r="C166" s="3" t="s">
        <v>19</v>
      </c>
      <c r="D166" s="3" t="s">
        <v>13</v>
      </c>
      <c r="E166" s="3">
        <v>1098.08</v>
      </c>
      <c r="F166" s="3">
        <v>9</v>
      </c>
      <c r="G166" s="3">
        <v>0.1</v>
      </c>
      <c r="H166" s="4">
        <v>45692</v>
      </c>
      <c r="I166" s="3">
        <v>395.31</v>
      </c>
    </row>
    <row r="167" spans="1:9" ht="15.75" customHeight="1" x14ac:dyDescent="0.3">
      <c r="A167" s="3" t="s">
        <v>66</v>
      </c>
      <c r="B167" s="3" t="s">
        <v>49</v>
      </c>
      <c r="C167" s="3" t="s">
        <v>12</v>
      </c>
      <c r="D167" s="3" t="s">
        <v>40</v>
      </c>
      <c r="E167" s="3">
        <v>827.25</v>
      </c>
      <c r="F167" s="3">
        <v>7</v>
      </c>
      <c r="G167" s="3">
        <v>0.1</v>
      </c>
      <c r="H167" s="4">
        <v>45693</v>
      </c>
      <c r="I167" s="3">
        <v>335.04</v>
      </c>
    </row>
    <row r="168" spans="1:9" ht="15.75" customHeight="1" x14ac:dyDescent="0.3">
      <c r="A168" s="3" t="s">
        <v>71</v>
      </c>
      <c r="B168" s="3" t="s">
        <v>30</v>
      </c>
      <c r="C168" s="3" t="s">
        <v>35</v>
      </c>
      <c r="D168" s="3" t="s">
        <v>16</v>
      </c>
      <c r="E168" s="3">
        <v>741.88</v>
      </c>
      <c r="F168" s="3">
        <v>16</v>
      </c>
      <c r="G168" s="3">
        <v>0.1</v>
      </c>
      <c r="H168" s="4">
        <v>45695</v>
      </c>
      <c r="I168" s="3">
        <v>333.85</v>
      </c>
    </row>
    <row r="169" spans="1:9" ht="15.75" customHeight="1" x14ac:dyDescent="0.3">
      <c r="A169" s="3" t="s">
        <v>73</v>
      </c>
      <c r="B169" s="3" t="s">
        <v>11</v>
      </c>
      <c r="C169" s="3" t="s">
        <v>19</v>
      </c>
      <c r="D169" s="3" t="s">
        <v>40</v>
      </c>
      <c r="E169" s="3">
        <v>1311.26</v>
      </c>
      <c r="F169" s="3">
        <v>6</v>
      </c>
      <c r="G169" s="3">
        <v>0.1</v>
      </c>
      <c r="H169" s="4">
        <v>45698</v>
      </c>
      <c r="I169" s="3">
        <v>531.05999999999995</v>
      </c>
    </row>
    <row r="170" spans="1:9" ht="15.75" customHeight="1" x14ac:dyDescent="0.3">
      <c r="A170" s="3" t="s">
        <v>73</v>
      </c>
      <c r="B170" s="3" t="s">
        <v>32</v>
      </c>
      <c r="C170" s="3" t="s">
        <v>21</v>
      </c>
      <c r="D170" s="3" t="s">
        <v>40</v>
      </c>
      <c r="E170" s="3">
        <v>573.32000000000005</v>
      </c>
      <c r="F170" s="3">
        <v>19</v>
      </c>
      <c r="G170" s="3">
        <v>0.1</v>
      </c>
      <c r="H170" s="4">
        <v>45703</v>
      </c>
      <c r="I170" s="3">
        <v>232.19</v>
      </c>
    </row>
    <row r="171" spans="1:9" ht="15.75" customHeight="1" x14ac:dyDescent="0.3">
      <c r="A171" s="3" t="s">
        <v>53</v>
      </c>
      <c r="B171" s="3" t="s">
        <v>24</v>
      </c>
      <c r="C171" s="3" t="s">
        <v>12</v>
      </c>
      <c r="D171" s="3" t="s">
        <v>22</v>
      </c>
      <c r="E171" s="3">
        <v>1115.22</v>
      </c>
      <c r="F171" s="3">
        <v>14</v>
      </c>
      <c r="G171" s="3">
        <v>0.2</v>
      </c>
      <c r="H171" s="4">
        <v>45705</v>
      </c>
      <c r="I171" s="3">
        <v>223.04</v>
      </c>
    </row>
    <row r="172" spans="1:9" ht="15.75" customHeight="1" x14ac:dyDescent="0.3">
      <c r="A172" s="3" t="s">
        <v>14</v>
      </c>
      <c r="B172" s="3" t="s">
        <v>46</v>
      </c>
      <c r="C172" s="3" t="s">
        <v>25</v>
      </c>
      <c r="D172" s="3" t="s">
        <v>16</v>
      </c>
      <c r="E172" s="3">
        <v>845.84</v>
      </c>
      <c r="F172" s="3">
        <v>4</v>
      </c>
      <c r="G172" s="3">
        <v>0</v>
      </c>
      <c r="H172" s="4">
        <v>45707</v>
      </c>
      <c r="I172" s="3">
        <v>422.92</v>
      </c>
    </row>
    <row r="173" spans="1:9" ht="15.75" customHeight="1" x14ac:dyDescent="0.3">
      <c r="A173" s="3" t="s">
        <v>31</v>
      </c>
      <c r="B173" s="3" t="s">
        <v>56</v>
      </c>
      <c r="C173" s="3" t="s">
        <v>12</v>
      </c>
      <c r="D173" s="3" t="s">
        <v>22</v>
      </c>
      <c r="E173" s="3">
        <v>1029.8</v>
      </c>
      <c r="F173" s="3">
        <v>3</v>
      </c>
      <c r="G173" s="3">
        <v>0</v>
      </c>
      <c r="H173" s="4">
        <v>45708</v>
      </c>
      <c r="I173" s="3">
        <v>257.45</v>
      </c>
    </row>
    <row r="174" spans="1:9" ht="15.75" customHeight="1" x14ac:dyDescent="0.3">
      <c r="A174" s="3" t="s">
        <v>33</v>
      </c>
      <c r="B174" s="3" t="s">
        <v>32</v>
      </c>
      <c r="C174" s="3" t="s">
        <v>25</v>
      </c>
      <c r="D174" s="3" t="s">
        <v>13</v>
      </c>
      <c r="E174" s="3">
        <v>1189.83</v>
      </c>
      <c r="F174" s="3">
        <v>2</v>
      </c>
      <c r="G174" s="3">
        <v>0.2</v>
      </c>
      <c r="H174" s="4">
        <v>45709</v>
      </c>
      <c r="I174" s="3">
        <v>380.75</v>
      </c>
    </row>
    <row r="175" spans="1:9" ht="15.75" customHeight="1" x14ac:dyDescent="0.3">
      <c r="A175" s="3" t="s">
        <v>68</v>
      </c>
      <c r="B175" s="3" t="s">
        <v>44</v>
      </c>
      <c r="C175" s="3" t="s">
        <v>21</v>
      </c>
      <c r="D175" s="3" t="s">
        <v>13</v>
      </c>
      <c r="E175" s="3">
        <v>704.28</v>
      </c>
      <c r="F175" s="3">
        <v>15</v>
      </c>
      <c r="G175" s="3">
        <v>0.2</v>
      </c>
      <c r="H175" s="4">
        <v>45712</v>
      </c>
      <c r="I175" s="3">
        <v>225.37</v>
      </c>
    </row>
    <row r="176" spans="1:9" ht="15.75" customHeight="1" x14ac:dyDescent="0.3">
      <c r="A176" s="3" t="s">
        <v>66</v>
      </c>
      <c r="B176" s="3" t="s">
        <v>48</v>
      </c>
      <c r="C176" s="3" t="s">
        <v>35</v>
      </c>
      <c r="D176" s="3" t="s">
        <v>40</v>
      </c>
      <c r="E176" s="3">
        <v>1618.22</v>
      </c>
      <c r="F176" s="3">
        <v>12</v>
      </c>
      <c r="G176" s="3">
        <v>0.2</v>
      </c>
      <c r="H176" s="4">
        <v>45712</v>
      </c>
      <c r="I176" s="3">
        <v>582.55999999999995</v>
      </c>
    </row>
    <row r="177" spans="1:9" ht="15.75" customHeight="1" x14ac:dyDescent="0.3">
      <c r="A177" s="3" t="s">
        <v>74</v>
      </c>
      <c r="B177" s="3" t="s">
        <v>54</v>
      </c>
      <c r="C177" s="3" t="s">
        <v>35</v>
      </c>
      <c r="D177" s="3" t="s">
        <v>13</v>
      </c>
      <c r="E177" s="3">
        <v>1014.43</v>
      </c>
      <c r="F177" s="3">
        <v>2</v>
      </c>
      <c r="G177" s="3">
        <v>0.15</v>
      </c>
      <c r="H177" s="4">
        <v>45713</v>
      </c>
      <c r="I177" s="3">
        <v>344.91</v>
      </c>
    </row>
    <row r="178" spans="1:9" ht="15.75" customHeight="1" x14ac:dyDescent="0.3">
      <c r="A178" s="3" t="s">
        <v>76</v>
      </c>
      <c r="B178" s="3" t="s">
        <v>32</v>
      </c>
      <c r="C178" s="3" t="s">
        <v>35</v>
      </c>
      <c r="D178" s="3" t="s">
        <v>16</v>
      </c>
      <c r="E178" s="3">
        <v>826.97</v>
      </c>
      <c r="F178" s="3">
        <v>18</v>
      </c>
      <c r="G178" s="3">
        <v>0.2</v>
      </c>
      <c r="H178" s="4">
        <v>45715</v>
      </c>
      <c r="I178" s="3">
        <v>330.79</v>
      </c>
    </row>
    <row r="179" spans="1:9" ht="15.75" customHeight="1" x14ac:dyDescent="0.3">
      <c r="A179" s="3" t="s">
        <v>17</v>
      </c>
      <c r="B179" s="3" t="s">
        <v>32</v>
      </c>
      <c r="C179" s="3" t="s">
        <v>35</v>
      </c>
      <c r="D179" s="3" t="s">
        <v>16</v>
      </c>
      <c r="E179" s="3">
        <v>1022.23</v>
      </c>
      <c r="F179" s="3">
        <v>8</v>
      </c>
      <c r="G179" s="3">
        <v>0.1</v>
      </c>
      <c r="H179" s="4">
        <v>45717</v>
      </c>
      <c r="I179" s="3">
        <v>460</v>
      </c>
    </row>
    <row r="180" spans="1:9" ht="15.75" customHeight="1" x14ac:dyDescent="0.3">
      <c r="A180" s="3" t="s">
        <v>73</v>
      </c>
      <c r="B180" s="3" t="s">
        <v>30</v>
      </c>
      <c r="C180" s="3" t="s">
        <v>19</v>
      </c>
      <c r="D180" s="3" t="s">
        <v>13</v>
      </c>
      <c r="E180" s="3">
        <v>1099.69</v>
      </c>
      <c r="F180" s="3">
        <v>6</v>
      </c>
      <c r="G180" s="3">
        <v>0</v>
      </c>
      <c r="H180" s="4">
        <v>45718</v>
      </c>
      <c r="I180" s="3">
        <v>439.88</v>
      </c>
    </row>
    <row r="181" spans="1:9" ht="15.75" customHeight="1" x14ac:dyDescent="0.3">
      <c r="A181" s="3" t="s">
        <v>53</v>
      </c>
      <c r="B181" s="3" t="s">
        <v>65</v>
      </c>
      <c r="C181" s="3" t="s">
        <v>25</v>
      </c>
      <c r="D181" s="3" t="s">
        <v>13</v>
      </c>
      <c r="E181" s="3">
        <v>710.52</v>
      </c>
      <c r="F181" s="3">
        <v>8</v>
      </c>
      <c r="G181" s="3">
        <v>0.1</v>
      </c>
      <c r="H181" s="4">
        <v>45721</v>
      </c>
      <c r="I181" s="3">
        <v>255.79</v>
      </c>
    </row>
    <row r="182" spans="1:9" ht="15.75" customHeight="1" x14ac:dyDescent="0.3">
      <c r="A182" s="3" t="s">
        <v>53</v>
      </c>
      <c r="B182" s="3" t="s">
        <v>60</v>
      </c>
      <c r="C182" s="3" t="s">
        <v>25</v>
      </c>
      <c r="D182" s="3" t="s">
        <v>13</v>
      </c>
      <c r="E182" s="3">
        <v>499.18</v>
      </c>
      <c r="F182" s="3">
        <v>15</v>
      </c>
      <c r="G182" s="3">
        <v>0.2</v>
      </c>
      <c r="H182" s="4">
        <v>45724</v>
      </c>
      <c r="I182" s="3">
        <v>159.74</v>
      </c>
    </row>
    <row r="183" spans="1:9" ht="15.75" customHeight="1" x14ac:dyDescent="0.3">
      <c r="A183" s="3" t="s">
        <v>38</v>
      </c>
      <c r="B183" s="3" t="s">
        <v>39</v>
      </c>
      <c r="C183" s="3" t="s">
        <v>21</v>
      </c>
      <c r="D183" s="3" t="s">
        <v>13</v>
      </c>
      <c r="E183" s="3">
        <v>1064.19</v>
      </c>
      <c r="F183" s="3">
        <v>18</v>
      </c>
      <c r="G183" s="3">
        <v>0.05</v>
      </c>
      <c r="H183" s="4">
        <v>45725</v>
      </c>
      <c r="I183" s="3">
        <v>404.39</v>
      </c>
    </row>
    <row r="184" spans="1:9" ht="15.75" customHeight="1" x14ac:dyDescent="0.3">
      <c r="A184" s="3" t="s">
        <v>68</v>
      </c>
      <c r="B184" s="3" t="s">
        <v>39</v>
      </c>
      <c r="C184" s="3" t="s">
        <v>19</v>
      </c>
      <c r="D184" s="3" t="s">
        <v>40</v>
      </c>
      <c r="E184" s="3">
        <v>438.76</v>
      </c>
      <c r="F184" s="3">
        <v>18</v>
      </c>
      <c r="G184" s="3">
        <v>0.05</v>
      </c>
      <c r="H184" s="4">
        <v>45726</v>
      </c>
      <c r="I184" s="3">
        <v>187.57</v>
      </c>
    </row>
    <row r="185" spans="1:9" ht="15.75" customHeight="1" x14ac:dyDescent="0.3">
      <c r="A185" s="3" t="s">
        <v>42</v>
      </c>
      <c r="B185" s="3" t="s">
        <v>56</v>
      </c>
      <c r="C185" s="3" t="s">
        <v>12</v>
      </c>
      <c r="D185" s="3" t="s">
        <v>16</v>
      </c>
      <c r="E185" s="3">
        <v>864.98</v>
      </c>
      <c r="F185" s="3">
        <v>2</v>
      </c>
      <c r="G185" s="3">
        <v>0.05</v>
      </c>
      <c r="H185" s="4">
        <v>45727</v>
      </c>
      <c r="I185" s="3">
        <v>410.87</v>
      </c>
    </row>
    <row r="186" spans="1:9" ht="15.75" customHeight="1" x14ac:dyDescent="0.3">
      <c r="A186" s="3" t="s">
        <v>58</v>
      </c>
      <c r="B186" s="3" t="s">
        <v>56</v>
      </c>
      <c r="C186" s="3" t="s">
        <v>12</v>
      </c>
      <c r="D186" s="3" t="s">
        <v>28</v>
      </c>
      <c r="E186" s="3">
        <v>984.93</v>
      </c>
      <c r="F186" s="3">
        <v>14</v>
      </c>
      <c r="G186" s="3">
        <v>0.2</v>
      </c>
      <c r="H186" s="4">
        <v>45733</v>
      </c>
      <c r="I186" s="3">
        <v>275.77999999999997</v>
      </c>
    </row>
    <row r="187" spans="1:9" ht="15.75" customHeight="1" x14ac:dyDescent="0.3">
      <c r="A187" s="3" t="s">
        <v>26</v>
      </c>
      <c r="B187" s="3" t="s">
        <v>56</v>
      </c>
      <c r="C187" s="3" t="s">
        <v>12</v>
      </c>
      <c r="D187" s="3" t="s">
        <v>16</v>
      </c>
      <c r="E187" s="3">
        <v>1493.49</v>
      </c>
      <c r="F187" s="3">
        <v>18</v>
      </c>
      <c r="G187" s="3">
        <v>0</v>
      </c>
      <c r="H187" s="4">
        <v>45734</v>
      </c>
      <c r="I187" s="3">
        <v>746.74</v>
      </c>
    </row>
    <row r="188" spans="1:9" ht="15.75" customHeight="1" x14ac:dyDescent="0.3">
      <c r="A188" s="3" t="s">
        <v>33</v>
      </c>
      <c r="B188" s="3" t="s">
        <v>54</v>
      </c>
      <c r="C188" s="3" t="s">
        <v>21</v>
      </c>
      <c r="D188" s="3" t="s">
        <v>16</v>
      </c>
      <c r="E188" s="3">
        <v>689.43</v>
      </c>
      <c r="F188" s="3">
        <v>9</v>
      </c>
      <c r="G188" s="3">
        <v>0.1</v>
      </c>
      <c r="H188" s="4">
        <v>45736</v>
      </c>
      <c r="I188" s="3">
        <v>310.24</v>
      </c>
    </row>
    <row r="189" spans="1:9" ht="15.75" customHeight="1" x14ac:dyDescent="0.3">
      <c r="A189" s="3" t="s">
        <v>41</v>
      </c>
      <c r="B189" s="3" t="s">
        <v>60</v>
      </c>
      <c r="C189" s="3" t="s">
        <v>21</v>
      </c>
      <c r="D189" s="3" t="s">
        <v>16</v>
      </c>
      <c r="E189" s="3">
        <v>682.24</v>
      </c>
      <c r="F189" s="3">
        <v>1</v>
      </c>
      <c r="G189" s="3">
        <v>0</v>
      </c>
      <c r="H189" s="4">
        <v>45738</v>
      </c>
      <c r="I189" s="3">
        <v>341.12</v>
      </c>
    </row>
    <row r="190" spans="1:9" ht="15.75" customHeight="1" x14ac:dyDescent="0.3">
      <c r="A190" s="3" t="s">
        <v>42</v>
      </c>
      <c r="B190" s="3" t="s">
        <v>27</v>
      </c>
      <c r="C190" s="3" t="s">
        <v>25</v>
      </c>
      <c r="D190" s="3" t="s">
        <v>22</v>
      </c>
      <c r="E190" s="3">
        <v>458.54</v>
      </c>
      <c r="F190" s="3">
        <v>15</v>
      </c>
      <c r="G190" s="3">
        <v>0.2</v>
      </c>
      <c r="H190" s="4">
        <v>45741</v>
      </c>
      <c r="I190" s="3">
        <v>91.71</v>
      </c>
    </row>
    <row r="191" spans="1:9" ht="15.75" customHeight="1" x14ac:dyDescent="0.3">
      <c r="A191" s="3" t="s">
        <v>33</v>
      </c>
      <c r="B191" s="3" t="s">
        <v>27</v>
      </c>
      <c r="C191" s="3" t="s">
        <v>21</v>
      </c>
      <c r="D191" s="3" t="s">
        <v>28</v>
      </c>
      <c r="E191" s="3">
        <v>1184.25</v>
      </c>
      <c r="F191" s="3">
        <v>11</v>
      </c>
      <c r="G191" s="3">
        <v>0.2</v>
      </c>
      <c r="H191" s="4">
        <v>45742</v>
      </c>
      <c r="I191" s="3">
        <v>331.59</v>
      </c>
    </row>
    <row r="192" spans="1:9" ht="15.75" customHeight="1" x14ac:dyDescent="0.3">
      <c r="A192" s="3" t="s">
        <v>26</v>
      </c>
      <c r="B192" s="3" t="s">
        <v>11</v>
      </c>
      <c r="C192" s="3" t="s">
        <v>21</v>
      </c>
      <c r="D192" s="3" t="s">
        <v>16</v>
      </c>
      <c r="E192" s="3">
        <v>762.14</v>
      </c>
      <c r="F192" s="3">
        <v>9</v>
      </c>
      <c r="G192" s="3">
        <v>0</v>
      </c>
      <c r="H192" s="4">
        <v>45743</v>
      </c>
      <c r="I192" s="3">
        <v>381.07</v>
      </c>
    </row>
    <row r="193" spans="1:9" ht="15.75" customHeight="1" x14ac:dyDescent="0.3">
      <c r="A193" s="3" t="s">
        <v>23</v>
      </c>
      <c r="B193" s="3" t="s">
        <v>54</v>
      </c>
      <c r="C193" s="3" t="s">
        <v>25</v>
      </c>
      <c r="D193" s="3" t="s">
        <v>13</v>
      </c>
      <c r="E193" s="3">
        <v>750.71</v>
      </c>
      <c r="F193" s="3">
        <v>10</v>
      </c>
      <c r="G193" s="3">
        <v>0.15</v>
      </c>
      <c r="H193" s="4">
        <v>45743</v>
      </c>
      <c r="I193" s="3">
        <v>255.24</v>
      </c>
    </row>
    <row r="194" spans="1:9" ht="15.75" customHeight="1" x14ac:dyDescent="0.3">
      <c r="A194" s="3" t="s">
        <v>76</v>
      </c>
      <c r="B194" s="3" t="s">
        <v>72</v>
      </c>
      <c r="C194" s="3" t="s">
        <v>35</v>
      </c>
      <c r="D194" s="3" t="s">
        <v>16</v>
      </c>
      <c r="E194" s="3">
        <v>1456.94</v>
      </c>
      <c r="F194" s="3">
        <v>14</v>
      </c>
      <c r="G194" s="3">
        <v>0.05</v>
      </c>
      <c r="H194" s="4">
        <v>45745</v>
      </c>
      <c r="I194" s="3">
        <v>692.05</v>
      </c>
    </row>
    <row r="195" spans="1:9" ht="15.75" customHeight="1" x14ac:dyDescent="0.3">
      <c r="A195" s="3" t="s">
        <v>45</v>
      </c>
      <c r="B195" s="3" t="s">
        <v>62</v>
      </c>
      <c r="C195" s="3" t="s">
        <v>19</v>
      </c>
      <c r="D195" s="3" t="s">
        <v>28</v>
      </c>
      <c r="E195" s="3">
        <v>1093.3800000000001</v>
      </c>
      <c r="F195" s="3">
        <v>17</v>
      </c>
      <c r="G195" s="3">
        <v>0.1</v>
      </c>
      <c r="H195" s="4">
        <v>45745</v>
      </c>
      <c r="I195" s="3">
        <v>344.41</v>
      </c>
    </row>
    <row r="196" spans="1:9" ht="15.75" customHeight="1" x14ac:dyDescent="0.3">
      <c r="A196" s="3" t="s">
        <v>38</v>
      </c>
      <c r="B196" s="3" t="s">
        <v>44</v>
      </c>
      <c r="C196" s="3" t="s">
        <v>12</v>
      </c>
      <c r="D196" s="3" t="s">
        <v>16</v>
      </c>
      <c r="E196" s="3">
        <v>934.27</v>
      </c>
      <c r="F196" s="3">
        <v>8</v>
      </c>
      <c r="G196" s="3">
        <v>0.15</v>
      </c>
      <c r="H196" s="4">
        <v>45746</v>
      </c>
      <c r="I196" s="3">
        <v>397.06</v>
      </c>
    </row>
    <row r="197" spans="1:9" ht="15.75" customHeight="1" x14ac:dyDescent="0.3">
      <c r="A197" s="3" t="s">
        <v>71</v>
      </c>
      <c r="B197" s="3" t="s">
        <v>37</v>
      </c>
      <c r="C197" s="3" t="s">
        <v>35</v>
      </c>
      <c r="D197" s="3" t="s">
        <v>16</v>
      </c>
      <c r="E197" s="3">
        <v>1465.35</v>
      </c>
      <c r="F197" s="3">
        <v>8</v>
      </c>
      <c r="G197" s="3">
        <v>0.2</v>
      </c>
      <c r="H197" s="4">
        <v>45746</v>
      </c>
      <c r="I197" s="3">
        <v>586.14</v>
      </c>
    </row>
    <row r="198" spans="1:9" ht="15.75" customHeight="1" x14ac:dyDescent="0.3">
      <c r="A198" s="3" t="s">
        <v>53</v>
      </c>
      <c r="B198" s="3" t="s">
        <v>15</v>
      </c>
      <c r="C198" s="3" t="s">
        <v>21</v>
      </c>
      <c r="D198" s="3" t="s">
        <v>40</v>
      </c>
      <c r="E198" s="3">
        <v>740.8</v>
      </c>
      <c r="F198" s="3">
        <v>3</v>
      </c>
      <c r="G198" s="3">
        <v>0</v>
      </c>
      <c r="H198" s="4">
        <v>45749</v>
      </c>
      <c r="I198" s="3">
        <v>333.36</v>
      </c>
    </row>
    <row r="199" spans="1:9" ht="15.75" customHeight="1" x14ac:dyDescent="0.3">
      <c r="A199" s="3" t="s">
        <v>59</v>
      </c>
      <c r="B199" s="3" t="s">
        <v>44</v>
      </c>
      <c r="C199" s="3" t="s">
        <v>12</v>
      </c>
      <c r="D199" s="3" t="s">
        <v>40</v>
      </c>
      <c r="E199" s="3">
        <v>545.44000000000005</v>
      </c>
      <c r="F199" s="3">
        <v>17</v>
      </c>
      <c r="G199" s="3">
        <v>0</v>
      </c>
      <c r="H199" s="4">
        <v>45752</v>
      </c>
      <c r="I199" s="3">
        <v>245.45</v>
      </c>
    </row>
    <row r="200" spans="1:9" ht="15.75" customHeight="1" x14ac:dyDescent="0.3">
      <c r="A200" s="3" t="s">
        <v>36</v>
      </c>
      <c r="B200" s="3" t="s">
        <v>37</v>
      </c>
      <c r="C200" s="3" t="s">
        <v>19</v>
      </c>
      <c r="D200" s="3" t="s">
        <v>13</v>
      </c>
      <c r="E200" s="3">
        <v>997.61</v>
      </c>
      <c r="F200" s="3">
        <v>8</v>
      </c>
      <c r="G200" s="3">
        <v>0.05</v>
      </c>
      <c r="H200" s="4">
        <v>45752</v>
      </c>
      <c r="I200" s="3">
        <v>379.09</v>
      </c>
    </row>
    <row r="201" spans="1:9" ht="15.75" customHeight="1" x14ac:dyDescent="0.3">
      <c r="A201" s="3" t="s">
        <v>61</v>
      </c>
      <c r="B201" s="3" t="s">
        <v>37</v>
      </c>
      <c r="C201" s="3" t="s">
        <v>21</v>
      </c>
      <c r="D201" s="3" t="s">
        <v>16</v>
      </c>
      <c r="E201" s="3">
        <v>928.32</v>
      </c>
      <c r="F201" s="3">
        <v>2</v>
      </c>
      <c r="G201" s="3">
        <v>0.05</v>
      </c>
      <c r="H201" s="4">
        <v>45754</v>
      </c>
      <c r="I201" s="3">
        <v>440.95</v>
      </c>
    </row>
    <row r="202" spans="1:9" ht="15.75" customHeight="1" x14ac:dyDescent="0.3"/>
    <row r="203" spans="1:9" ht="15.75" customHeight="1" x14ac:dyDescent="0.3"/>
    <row r="204" spans="1:9" ht="15.75" customHeight="1" x14ac:dyDescent="0.3"/>
    <row r="205" spans="1:9" ht="15.75" customHeight="1" x14ac:dyDescent="0.3"/>
    <row r="206" spans="1:9" ht="15.75" customHeight="1" x14ac:dyDescent="0.3"/>
    <row r="207" spans="1:9" ht="15.75" customHeight="1" x14ac:dyDescent="0.3"/>
    <row r="208" spans="1:9"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Instructions</vt:lpstr>
      <vt:lpstr>Descriptive Stat</vt:lpstr>
      <vt:lpstr>Scenario Summary</vt:lpstr>
      <vt:lpstr>What if</vt:lpstr>
      <vt:lpstr>Linear reg</vt:lpstr>
      <vt:lpstr>Dashboard</vt:lpstr>
      <vt:lpstr>Obj1</vt:lpstr>
      <vt:lpstr>Obj2</vt:lpstr>
      <vt:lpstr>Obj3</vt:lpstr>
      <vt:lpstr>Obj4</vt:lpstr>
      <vt:lpstr>Obj5</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Rajvi Trivedi</cp:lastModifiedBy>
  <dcterms:created xsi:type="dcterms:W3CDTF">2025-12-17T16:30:45Z</dcterms:created>
  <dcterms:modified xsi:type="dcterms:W3CDTF">2025-12-19T11:09:04Z</dcterms:modified>
</cp:coreProperties>
</file>